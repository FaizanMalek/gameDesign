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in 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<sst xmlns="http://schemas.openxmlformats.org/spreadsheetml/2006/main" count="26" uniqueCount="26">
  <si>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PLINKO  Math Model</t>
  </si>
  <si>
    <t xml:space="preserve">12 rows  ·  13 slots  ·  Faizan Malek</t>
  </si>
  <si>
    <t xml:space="preserve">What this is</t>
  </si>
  <si>
    <t xml:space="preserve">A fully exact model of the Plinko drop game. Every result is an Excel formula. The return is closed form, so no simulation is needed.</t>
  </si>
  <si>
    <t xml:space="preserve">Sheets</t>
  </si>
  <si>
    <t xml:space="preserve">1  Bin Model</t>
  </si>
  <si>
    <t xml:space="preserve">Each slot's exact probability from the binomial distribution, its multiplier, and the contribution to the return. Volatility and hit rate are computed at the bottom.</t>
  </si>
  <si>
    <t xml:space="preserve">Colour key</t>
  </si>
  <si>
    <t xml:space="preserve">BLUE = an input you can change (the multipliers). BLACK = a formula.</t>
  </si>
  <si>
    <t xml:space="preserve">Method</t>
  </si>
  <si>
    <t xml:space="preserve">The chip makes 12 even left or right choices, so the landing slot k has probability COMBIN(12, k) / 2^12. Return is the sum of probability times multiplier across all 13 slots.</t>
  </si>
  <si>
    <t xml:space="preserve">Exact bin model</t>
  </si>
  <si>
    <t xml:space="preserve">Probabilities from the binomial distribution. Multipliers are the only design input.</t>
  </si>
  <si>
    <t xml:space="preserve">Slot k (rights)</t>
  </si>
  <si>
    <t xml:space="preserve">COMBIN(12,k)</t>
  </si>
  <si>
    <t xml:space="preserve">Probability</t>
  </si>
  <si>
    <t xml:space="preserve">Multiplier</t>
  </si>
  <si>
    <t xml:space="preserve">Contribution</t>
  </si>
  <si>
    <t xml:space="preserve">Total probability</t>
  </si>
  <si>
    <t xml:space="preserve">RTP</t>
  </si>
  <si>
    <t xml:space="preserve">Return to player (sum of contributions)</t>
  </si>
  <si>
    <t xml:space="preserve">E[multiplier squared]</t>
  </si>
  <si>
    <t xml:space="preserve">Variance of return</t>
  </si>
  <si>
    <t xml:space="preserve">Volatility (standard deviation)</t>
  </si>
  <si>
    <t xml:space="preserve">Hit rate (slots paying 1x or more)</t>
  </si>
  <si>
    <t xml:space="preserve">The probabilities are exact, so the return is exact: there is nothing to simulate. The only design lever is the multiplier column. Raising the rare edges and lowering the common centre increases excitement and volatility; flattening them does the reverse. Keeping the probability weighted sum constant holds the return at its target while changing how the game feels.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</si>
</sst>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%"/>
    <numFmt numFmtId="166" formatCode="0.0000"/>
    <numFmt numFmtId="167" formatCode="0.00%"/>
    <numFmt numFmtId="168" formatCode="0.000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1E5D6"/>
        <bgColor rgb="FFFDF3C4"/>
      </patternFill>
    </fill>
    <fill>
      <patternFill patternType="solid">
        <fgColor rgb="FFFDF3C4"/>
        <bgColor rgb="FFF1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DF3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4" t="s">
        <v>3</v>
      </c>
    </row>
    <row r="5" customFormat="false" ht="9.75" hidden="false" customHeight="true" outlineLevel="0" collapsed="false"/>
    <row r="6" customFormat="false" ht="9.75" hidden="false" customHeight="true" outlineLevel="0" collapsed="false">
      <c r="A6" s="3" t="s">
        <v>4</v>
      </c>
    </row>
    <row r="7" customFormat="false" ht="39.75" hidden="false" customHeight="true" outlineLevel="0" collapsed="false">
      <c r="A7" s="3" t="s">
        <v>5</v>
      </c>
      <c r="B7" s="4" t="s">
        <v>6</v>
      </c>
    </row>
    <row r="8" customFormat="false" ht="9.75" hidden="false" customHeight="true" outlineLevel="0" collapsed="false"/>
    <row r="9" customFormat="false" ht="27.75" hidden="false" customHeight="true" outlineLevel="0" collapsed="false">
      <c r="A9" s="3" t="s">
        <v>7</v>
      </c>
      <c r="B9" s="4" t="s">
        <v>8</v>
      </c>
    </row>
    <row r="10" customFormat="false" ht="39.75" hidden="false" customHeight="true" outlineLevel="0" collapsed="false">
      <c r="A10" s="3" t="s">
        <v>9</v>
      </c>
      <c r="B10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5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15" hidden="false" customHeight="false" outlineLevel="0" collapsed="false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</row>
    <row r="5" customFormat="false" ht="15" hidden="false" customHeight="false" outlineLevel="0" collapsed="false">
      <c r="A5" s="7" t="n">
        <v>0</v>
      </c>
      <c r="B5" s="7" t="n">
        <f aca="false">COMBIN(12,0)</f>
        <v>1</v>
      </c>
      <c r="C5" s="8" t="n">
        <f aca="false">B5/2^12</f>
        <v>0.000244140625</v>
      </c>
      <c r="D5" s="9" t="n">
        <v>29</v>
      </c>
      <c r="E5" s="10" t="n">
        <f aca="false">C5*D5</f>
        <v>0.007080078125</v>
      </c>
    </row>
    <row r="6" customFormat="false" ht="15" hidden="false" customHeight="false" outlineLevel="0" collapsed="false">
      <c r="A6" s="7" t="n">
        <v>1</v>
      </c>
      <c r="B6" s="7" t="n">
        <f aca="false">COMBIN(12,1)</f>
        <v>12</v>
      </c>
      <c r="C6" s="8" t="n">
        <f aca="false">B6/2^12</f>
        <v>0.0029296875</v>
      </c>
      <c r="D6" s="9" t="n">
        <v>4</v>
      </c>
      <c r="E6" s="10" t="n">
        <f aca="false">C6*D6</f>
        <v>0.01171875</v>
      </c>
    </row>
    <row r="7" customFormat="false" ht="15" hidden="false" customHeight="false" outlineLevel="0" collapsed="false">
      <c r="A7" s="7" t="n">
        <v>2</v>
      </c>
      <c r="B7" s="7" t="n">
        <f aca="false">COMBIN(12,2)</f>
        <v>66</v>
      </c>
      <c r="C7" s="8" t="n">
        <f aca="false">B7/2^12</f>
        <v>0.01611328125</v>
      </c>
      <c r="D7" s="9" t="n">
        <v>1.6</v>
      </c>
      <c r="E7" s="10" t="n">
        <f aca="false">C7*D7</f>
        <v>0.02578125</v>
      </c>
    </row>
    <row r="8" customFormat="false" ht="15" hidden="false" customHeight="false" outlineLevel="0" collapsed="false">
      <c r="A8" s="7" t="n">
        <v>3</v>
      </c>
      <c r="B8" s="7" t="n">
        <f aca="false">COMBIN(12,3)</f>
        <v>220</v>
      </c>
      <c r="C8" s="8" t="n">
        <f aca="false">B8/2^12</f>
        <v>0.0537109375</v>
      </c>
      <c r="D8" s="9" t="n">
        <v>1.3</v>
      </c>
      <c r="E8" s="10" t="n">
        <f aca="false">C8*D8</f>
        <v>0.06982421875</v>
      </c>
    </row>
    <row r="9" customFormat="false" ht="15" hidden="false" customHeight="false" outlineLevel="0" collapsed="false">
      <c r="A9" s="7" t="n">
        <v>4</v>
      </c>
      <c r="B9" s="7" t="n">
        <f aca="false">COMBIN(12,4)</f>
        <v>495</v>
      </c>
      <c r="C9" s="8" t="n">
        <f aca="false">B9/2^12</f>
        <v>0.120849609375</v>
      </c>
      <c r="D9" s="9" t="n">
        <v>1.1</v>
      </c>
      <c r="E9" s="10" t="n">
        <f aca="false">C9*D9</f>
        <v>0.1329345703125</v>
      </c>
    </row>
    <row r="10" customFormat="false" ht="15" hidden="false" customHeight="false" outlineLevel="0" collapsed="false">
      <c r="A10" s="7" t="n">
        <v>5</v>
      </c>
      <c r="B10" s="7" t="n">
        <f aca="false">COMBIN(12,5)</f>
        <v>792</v>
      </c>
      <c r="C10" s="8" t="n">
        <f aca="false">B10/2^12</f>
        <v>0.193359375</v>
      </c>
      <c r="D10" s="9" t="n">
        <v>1</v>
      </c>
      <c r="E10" s="10" t="n">
        <f aca="false">C10*D10</f>
        <v>0.193359375</v>
      </c>
    </row>
    <row r="11" customFormat="false" ht="15" hidden="false" customHeight="false" outlineLevel="0" collapsed="false">
      <c r="A11" s="7" t="n">
        <v>6</v>
      </c>
      <c r="B11" s="7" t="n">
        <f aca="false">COMBIN(12,6)</f>
        <v>924</v>
      </c>
      <c r="C11" s="8" t="n">
        <f aca="false">B11/2^12</f>
        <v>0.2255859375</v>
      </c>
      <c r="D11" s="9" t="n">
        <v>0.5</v>
      </c>
      <c r="E11" s="10" t="n">
        <f aca="false">C11*D11</f>
        <v>0.11279296875</v>
      </c>
    </row>
    <row r="12" customFormat="false" ht="15" hidden="false" customHeight="false" outlineLevel="0" collapsed="false">
      <c r="A12" s="7" t="n">
        <v>7</v>
      </c>
      <c r="B12" s="7" t="n">
        <f aca="false">COMBIN(12,7)</f>
        <v>792</v>
      </c>
      <c r="C12" s="8" t="n">
        <f aca="false">B12/2^12</f>
        <v>0.193359375</v>
      </c>
      <c r="D12" s="9" t="n">
        <v>1</v>
      </c>
      <c r="E12" s="10" t="n">
        <f aca="false">C12*D12</f>
        <v>0.193359375</v>
      </c>
    </row>
    <row r="13" customFormat="false" ht="15" hidden="false" customHeight="false" outlineLevel="0" collapsed="false">
      <c r="A13" s="7" t="n">
        <v>8</v>
      </c>
      <c r="B13" s="7" t="n">
        <f aca="false">COMBIN(12,8)</f>
        <v>495</v>
      </c>
      <c r="C13" s="8" t="n">
        <f aca="false">B13/2^12</f>
        <v>0.120849609375</v>
      </c>
      <c r="D13" s="9" t="n">
        <v>1.1</v>
      </c>
      <c r="E13" s="10" t="n">
        <f aca="false">C13*D13</f>
        <v>0.1329345703125</v>
      </c>
    </row>
    <row r="14" customFormat="false" ht="15" hidden="false" customHeight="false" outlineLevel="0" collapsed="false">
      <c r="A14" s="7" t="n">
        <v>9</v>
      </c>
      <c r="B14" s="7" t="n">
        <f aca="false">COMBIN(12,9)</f>
        <v>220</v>
      </c>
      <c r="C14" s="8" t="n">
        <f aca="false">B14/2^12</f>
        <v>0.0537109375</v>
      </c>
      <c r="D14" s="9" t="n">
        <v>1.3</v>
      </c>
      <c r="E14" s="10" t="n">
        <f aca="false">C14*D14</f>
        <v>0.06982421875</v>
      </c>
    </row>
    <row r="15" customFormat="false" ht="15" hidden="false" customHeight="false" outlineLevel="0" collapsed="false">
      <c r="A15" s="7" t="n">
        <v>10</v>
      </c>
      <c r="B15" s="7" t="n">
        <f aca="false">COMBIN(12,10)</f>
        <v>66</v>
      </c>
      <c r="C15" s="8" t="n">
        <f aca="false">B15/2^12</f>
        <v>0.01611328125</v>
      </c>
      <c r="D15" s="9" t="n">
        <v>1.6</v>
      </c>
      <c r="E15" s="10" t="n">
        <f aca="false">C15*D15</f>
        <v>0.02578125</v>
      </c>
    </row>
    <row r="16" customFormat="false" ht="15" hidden="false" customHeight="false" outlineLevel="0" collapsed="false">
      <c r="A16" s="7" t="n">
        <v>11</v>
      </c>
      <c r="B16" s="7" t="n">
        <f aca="false">COMBIN(12,11)</f>
        <v>12</v>
      </c>
      <c r="C16" s="8" t="n">
        <f aca="false">B16/2^12</f>
        <v>0.0029296875</v>
      </c>
      <c r="D16" s="9" t="n">
        <v>4</v>
      </c>
      <c r="E16" s="10" t="n">
        <f aca="false">C16*D16</f>
        <v>0.01171875</v>
      </c>
    </row>
    <row r="17" customFormat="false" ht="15" hidden="false" customHeight="false" outlineLevel="0" collapsed="false">
      <c r="A17" s="7" t="n">
        <v>12</v>
      </c>
      <c r="B17" s="7" t="n">
        <f aca="false">COMBIN(12,12)</f>
        <v>1</v>
      </c>
      <c r="C17" s="8" t="n">
        <f aca="false">B17/2^12</f>
        <v>0.000244140625</v>
      </c>
      <c r="D17" s="9" t="n">
        <v>29</v>
      </c>
      <c r="E17" s="10" t="n">
        <f aca="false">C17*D17</f>
        <v>0.007080078125</v>
      </c>
    </row>
    <row r="18" customFormat="false" ht="15" hidden="false" customHeight="false" outlineLevel="0" collapsed="false">
      <c r="A18" s="11" t="s">
        <v>18</v>
      </c>
      <c r="C18" s="12" t="n">
        <f aca="false">SUM(C5:C17)</f>
        <v>1</v>
      </c>
      <c r="E18" s="13" t="s">
        <v>19</v>
      </c>
    </row>
    <row r="19" customFormat="false" ht="15" hidden="false" customHeight="false" outlineLevel="0" collapsed="false">
      <c r="A19" s="14" t="s">
        <v>20</v>
      </c>
      <c r="E19" s="15" t="n">
        <f aca="false">SUM(E5:E17)</f>
        <v>0.994189453125</v>
      </c>
    </row>
    <row r="20" customFormat="false" ht="15" hidden="false" customHeight="false" outlineLevel="0" collapsed="false">
      <c r="A20" s="16" t="s">
        <v>21</v>
      </c>
      <c r="E20" s="10" t="n">
        <f aca="false">SUMPRODUCT(C5:C17,D5:D17,D5:D17)</f>
        <v>1.5040087890625</v>
      </c>
    </row>
    <row r="21" customFormat="false" ht="15" hidden="false" customHeight="false" outlineLevel="0" collapsed="false">
      <c r="A21" s="16" t="s">
        <v>22</v>
      </c>
      <c r="E21" s="10" t="n">
        <f aca="false">E20-E19^2</f>
        <v>0.515596120357514</v>
      </c>
    </row>
    <row r="22" customFormat="false" ht="15" hidden="false" customHeight="false" outlineLevel="0" collapsed="false">
      <c r="A22" s="11" t="s">
        <v>23</v>
      </c>
      <c r="E22" s="17" t="n">
        <f aca="false">SQRT(E21)</f>
        <v>0.718050221333796</v>
      </c>
    </row>
    <row r="23" customFormat="false" ht="15" hidden="false" customHeight="false" outlineLevel="0" collapsed="false">
      <c r="A23" s="11" t="s">
        <v>24</v>
      </c>
      <c r="E23" s="18" t="n">
        <f aca="false">SUMIF(D5:D17,"&gt;=1",C5:C17)</f>
        <v>0.7744140625</v>
      </c>
    </row>
    <row r="25" customFormat="false" ht="15" hidden="false" customHeight="true" outlineLevel="0" collapsed="false">
      <c r="A25" s="19" t="s">
        <v>25</v>
      </c>
      <c r="B25" s="19"/>
      <c r="C25" s="19"/>
      <c r="D25" s="19"/>
      <c r="E25" s="19"/>
      <c r="F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</row>
  </sheetData>
  <mergeCells count="1">
    <mergeCell ref="A25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2026-06-14T23:10:44Z</dcterms:created>
  <dc:creator>openpyxl</dc:creator>
  <dc:description/>
  <dc:language>en-US</dc:language>
  <cp:lastModifiedBy/>
  <dcterms:modified xsi:type="dcterms:W3CDTF">2026-06-14T23:10:44Z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