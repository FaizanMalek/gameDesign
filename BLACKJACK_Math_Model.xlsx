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ealer Odds" sheetId="2" state="visible" r:id="rId4"/>
    <sheet name="Payouts &amp; Edg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<sst xmlns="http://schemas.openxmlformats.org/spreadsheetml/2006/main" count="49" uniqueCount="49">
  <si>
    <t xml:space="preserve">BLACKJACK  Math Model</t>
  </si>
  <si>
    <t xml:space="preserve">Single deck  ·  dealer stands on 17  ·  Faizan Malek</t>
  </si>
  <si>
    <t xml:space="preserve">What this is</t>
  </si>
  <si>
    <t xml:space="preserve">A model of the blackjack build: the exact dealer outcome odds, the payout rules, and an honest accounting of the house edge.</t>
  </si>
  <si>
    <t xml:space="preserve">Sheets</t>
  </si>
  <si>
    <t xml:space="preserve">1  Dealer Odds</t>
  </si>
  <si>
    <t xml:space="preserve">The exact distribution of the dealer's final total with the dealer standing on 17, computed by a dealer draw recursion.</t>
  </si>
  <si>
    <t xml:space="preserve">2  Payouts &amp; Edge</t>
  </si>
  <si>
    <t xml:space="preserve">The payout rules, the chance of a natural, and the return to player, with the reason this casual build differs from the textbook figure.</t>
  </si>
  <si>
    <t xml:space="preserve">Colour key</t>
  </si>
  <si>
    <t xml:space="preserve">BLUE = a computed or input value. BLACK = a formula.</t>
  </si>
  <si>
    <t xml:space="preserve">Method</t>
  </si>
  <si>
    <t xml:space="preserve">Dealer odds are exact (a recursion over every dealer draw). The blackjack chance is a closed form. The overall return for this rule set comes from a 600,000 hand basic strategy simulation, because the player's strategy is what sets the final edge.</t>
  </si>
  <si>
    <t xml:space="preserve">Dealer final total (dealer stands on 17)</t>
  </si>
  <si>
    <t xml:space="preserve">Exact distribution from a dealer draw recursion. BLUE values, sum is a formula.</t>
  </si>
  <si>
    <t xml:space="preserve">Dealer final</t>
  </si>
  <si>
    <t xml:space="preserve">Probability</t>
  </si>
  <si>
    <t xml:space="preserve">Note</t>
  </si>
  <si>
    <t xml:space="preserve">17</t>
  </si>
  <si>
    <t xml:space="preserve">18</t>
  </si>
  <si>
    <t xml:space="preserve">19</t>
  </si>
  <si>
    <t xml:space="preserve">20</t>
  </si>
  <si>
    <t xml:space="preserve">most common made hand</t>
  </si>
  <si>
    <t xml:space="preserve">21</t>
  </si>
  <si>
    <t xml:space="preserve">Bust</t>
  </si>
  <si>
    <t xml:space="preserve">the player's main source of value</t>
  </si>
  <si>
    <t xml:space="preserve">Total</t>
  </si>
  <si>
    <t xml:space="preserve">Dealer bust rate</t>
  </si>
  <si>
    <t xml:space="preserve">These are the dealer's chances of finishing on each total when the dealer must draw to 16 and stand on 17. The high bust rate near 28 percent is the single biggest reason the player can win at all, since the dealer also plays a fixed rule with no choices.</t>
  </si>
  <si>
    <t xml:space="preserve">Payouts, natural odds and return</t>
  </si>
  <si>
    <t xml:space="preserve">Outcome</t>
  </si>
  <si>
    <t xml:space="preserve">Pays</t>
  </si>
  <si>
    <t xml:space="preserve">Player natural blackjack</t>
  </si>
  <si>
    <t xml:space="preserve">3 to 2</t>
  </si>
  <si>
    <t xml:space="preserve">Beat the dealer or dealer busts</t>
  </si>
  <si>
    <t xml:space="preserve">1 to 1</t>
  </si>
  <si>
    <t xml:space="preserve">Tie</t>
  </si>
  <si>
    <t xml:space="preserve">Push, bet returned</t>
  </si>
  <si>
    <t xml:space="preserve">Player busts or dealer higher</t>
  </si>
  <si>
    <t xml:space="preserve">Loss</t>
  </si>
  <si>
    <t xml:space="preserve">Double</t>
  </si>
  <si>
    <t xml:space="preserve">Bet doubled for one card</t>
  </si>
  <si>
    <t xml:space="preserve">Chance of a natural blackjack = 2 x P(ace) x P(ten)</t>
  </si>
  <si>
    <t xml:space="preserve">Return to player</t>
  </si>
  <si>
    <t xml:space="preserve">Value</t>
  </si>
  <si>
    <t xml:space="preserve">Full rules with splitting and basic strategy (reference)</t>
  </si>
  <si>
    <t xml:space="preserve">This build, no split, basic strategy (600,000 hand simulation)</t>
  </si>
  <si>
    <t xml:space="preserve">House edge of this build</t>
  </si>
  <si>
    <t xml:space="preserve">The famous 99.5 percent blackjack figure assumes the player can split pairs. This build leaves splitting out to stay simple, which removes some player value and lifts the house edge to about 1.2 percent. Reporting the simulated number for the actual rules, and naming the reason for the gap, is the honest way to present it. The edge is tuned through rules: a 6 to 5 blackjack, a dealer who hits soft 17, or more decks each move it in the house's favour.</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</si>
</sst>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6"/>
      <color rgb="FF1A1A1A"/>
      <name val="Arial"/>
      <family val="0"/>
      <charset val="1"/>
    </font>
    <font>
      <i val="true"/>
      <sz val="10"/>
      <color rgb="FF777777"/>
      <name val="Arial"/>
      <family val="0"/>
      <charset val="1"/>
    </font>
    <font>
      <b val="true"/>
      <sz val="10"/>
      <color rgb="FF000000"/>
      <name val="Arial"/>
      <family val="0"/>
      <charset val="1"/>
    </font>
    <font>
      <sz val="10"/>
      <color rgb="FF1A1A1A"/>
      <name val="Arial"/>
      <family val="0"/>
      <charset val="1"/>
    </font>
    <font>
      <sz val="10"/>
      <color rgb="FF000000"/>
      <name val="Arial"/>
      <family val="0"/>
      <charset val="1"/>
    </font>
    <font>
      <sz val="10"/>
      <color rgb="FF0000FF"/>
      <name val="Arial"/>
      <family val="0"/>
      <charset val="1"/>
    </font>
    <font>
      <sz val="10"/>
      <color rgb="FF777777"/>
      <name val="Arial"/>
      <family val="0"/>
      <charset val="1"/>
    </font>
    <font>
      <i val="true"/>
      <sz val="9"/>
      <color rgb="FF777777"/>
      <name val="Arial"/>
      <family val="0"/>
      <charset val="1"/>
    </font>
    <font>
      <b val="true"/>
      <sz val="10"/>
      <color rgb="FF0000FF"/>
      <name val="Arial"/>
      <family val="0"/>
      <charset val="1"/>
    </font>
  </fonts>
  <fills count="4">
    <fill>
      <patternFill patternType="none"/>
    </fill>
    <fill>
      <patternFill patternType="gray125"/>
    </fill>
    <fill>
      <patternFill patternType="solid">
        <fgColor rgb="FFF1E5D6"/>
        <bgColor rgb="FFFDF3C4"/>
      </patternFill>
    </fill>
    <fill>
      <patternFill patternType="solid">
        <fgColor rgb="FFFDF3C4"/>
        <bgColor rgb="FFF1E5D6"/>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5" fontId="6" fillId="3"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12"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E5D6"/>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9999FF"/>
      <rgbColor rgb="FF993366"/>
      <rgbColor rgb="FFFDF3C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4"/>
  </cols>
  <sheetData>
    <row r="1" customFormat="false" ht="19.7"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4" t="s">
        <v>3</v>
      </c>
    </row>
    <row r="5" customFormat="false" ht="9.75" hidden="false" customHeight="true" outlineLevel="0" collapsed="false"/>
    <row r="6" customFormat="false" ht="9.75" hidden="false" customHeight="true" outlineLevel="0" collapsed="false">
      <c r="A6" s="3" t="s">
        <v>4</v>
      </c>
    </row>
    <row r="7" customFormat="false" ht="42" hidden="false" customHeight="true" outlineLevel="0" collapsed="false">
      <c r="A7" s="3" t="s">
        <v>5</v>
      </c>
      <c r="B7" s="4" t="s">
        <v>6</v>
      </c>
    </row>
    <row r="8" customFormat="false" ht="42" hidden="false" customHeight="true" outlineLevel="0" collapsed="false">
      <c r="A8" s="3" t="s">
        <v>7</v>
      </c>
      <c r="B8" s="4" t="s">
        <v>8</v>
      </c>
    </row>
    <row r="9" customFormat="false" ht="9.75" hidden="false" customHeight="true" outlineLevel="0" collapsed="false"/>
    <row r="10" customFormat="false" ht="27.75" hidden="false" customHeight="true" outlineLevel="0" collapsed="false">
      <c r="A10" s="3" t="s">
        <v>9</v>
      </c>
      <c r="B10" s="4" t="s">
        <v>10</v>
      </c>
    </row>
    <row r="11" customFormat="false" ht="42" hidden="false" customHeight="true" outlineLevel="0" collapsed="false">
      <c r="A11" s="3" t="s">
        <v>11</v>
      </c>
      <c r="B11" s="4"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40"/>
  </cols>
  <sheetData>
    <row r="1" customFormat="false" ht="19.7" hidden="false" customHeight="false" outlineLevel="0" collapsed="false">
      <c r="A1" s="1" t="s">
        <v>13</v>
      </c>
    </row>
    <row r="2" customFormat="false" ht="15" hidden="false" customHeight="false" outlineLevel="0" collapsed="false">
      <c r="A2" s="2" t="s">
        <v>14</v>
      </c>
    </row>
    <row r="4" customFormat="false" ht="15" hidden="false" customHeight="false" outlineLevel="0" collapsed="false">
      <c r="A4" s="5" t="s">
        <v>15</v>
      </c>
      <c r="B4" s="6" t="s">
        <v>16</v>
      </c>
      <c r="C4" s="6" t="s">
        <v>17</v>
      </c>
    </row>
    <row r="5" customFormat="false" ht="15" hidden="false" customHeight="false" outlineLevel="0" collapsed="false">
      <c r="A5" s="7" t="s">
        <v>18</v>
      </c>
      <c r="B5" s="8" t="n">
        <v>0.1447</v>
      </c>
      <c r="C5" s="9"/>
    </row>
    <row r="6" customFormat="false" ht="15" hidden="false" customHeight="false" outlineLevel="0" collapsed="false">
      <c r="A6" s="7" t="s">
        <v>19</v>
      </c>
      <c r="B6" s="8" t="n">
        <v>0.1391</v>
      </c>
      <c r="C6" s="9"/>
    </row>
    <row r="7" customFormat="false" ht="15" hidden="false" customHeight="false" outlineLevel="0" collapsed="false">
      <c r="A7" s="7" t="s">
        <v>20</v>
      </c>
      <c r="B7" s="8" t="n">
        <v>0.133</v>
      </c>
      <c r="C7" s="9"/>
    </row>
    <row r="8" customFormat="false" ht="15" hidden="false" customHeight="false" outlineLevel="0" collapsed="false">
      <c r="A8" s="7" t="s">
        <v>21</v>
      </c>
      <c r="B8" s="8" t="n">
        <v>0.1798</v>
      </c>
      <c r="C8" s="9" t="s">
        <v>22</v>
      </c>
    </row>
    <row r="9" customFormat="false" ht="15" hidden="false" customHeight="false" outlineLevel="0" collapsed="false">
      <c r="A9" s="7" t="s">
        <v>23</v>
      </c>
      <c r="B9" s="8" t="n">
        <v>0.1196</v>
      </c>
      <c r="C9" s="9"/>
    </row>
    <row r="10" customFormat="false" ht="15" hidden="false" customHeight="false" outlineLevel="0" collapsed="false">
      <c r="A10" s="7" t="s">
        <v>24</v>
      </c>
      <c r="B10" s="8" t="n">
        <v>0.2837</v>
      </c>
      <c r="C10" s="9" t="s">
        <v>25</v>
      </c>
    </row>
    <row r="11" customFormat="false" ht="15" hidden="false" customHeight="false" outlineLevel="0" collapsed="false">
      <c r="A11" s="10" t="s">
        <v>26</v>
      </c>
      <c r="B11" s="11" t="n">
        <f aca="false">SUM(B5:B10)</f>
        <v>0.9999</v>
      </c>
    </row>
    <row r="12" customFormat="false" ht="15" hidden="false" customHeight="false" outlineLevel="0" collapsed="false">
      <c r="A12" s="12" t="s">
        <v>27</v>
      </c>
      <c r="B12" s="13" t="n">
        <f aca="false">B10</f>
        <v>0.2837</v>
      </c>
    </row>
    <row r="14" customFormat="false" ht="15" hidden="false" customHeight="true" outlineLevel="0" collapsed="false">
      <c r="A14" s="14" t="s">
        <v>28</v>
      </c>
      <c r="B14" s="14"/>
      <c r="C14" s="14"/>
      <c r="D14" s="14"/>
      <c r="E14" s="14"/>
      <c r="F14" s="14"/>
    </row>
    <row r="15" customFormat="false" ht="15" hidden="false" customHeight="false" outlineLevel="0" collapsed="false">
      <c r="A15" s="14"/>
      <c r="B15" s="14"/>
      <c r="C15" s="14"/>
      <c r="D15" s="14"/>
      <c r="E15" s="14"/>
      <c r="F15" s="14"/>
    </row>
    <row r="16" customFormat="false" ht="15" hidden="false" customHeight="false" outlineLevel="0" collapsed="false">
      <c r="A16" s="14"/>
      <c r="B16" s="14"/>
      <c r="C16" s="14"/>
      <c r="D16" s="14"/>
      <c r="E16" s="14"/>
      <c r="F16" s="14"/>
    </row>
    <row r="17" customFormat="false" ht="15" hidden="false" customHeight="false" outlineLevel="0" collapsed="false">
      <c r="A17" s="14"/>
      <c r="B17" s="14"/>
      <c r="C17" s="14"/>
      <c r="D17" s="14"/>
      <c r="E17" s="14"/>
      <c r="F17" s="14"/>
    </row>
  </sheetData>
  <mergeCells count="1">
    <mergeCell ref="A14: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6"/>
  </cols>
  <sheetData>
    <row r="1" customFormat="false" ht="19.7" hidden="false" customHeight="false" outlineLevel="0" collapsed="false">
      <c r="A1" s="1" t="s">
        <v>29</v>
      </c>
    </row>
    <row r="4" customFormat="false" ht="15" hidden="false" customHeight="false" outlineLevel="0" collapsed="false">
      <c r="A4" s="5" t="s">
        <v>30</v>
      </c>
      <c r="B4" s="6" t="s">
        <v>31</v>
      </c>
    </row>
    <row r="5" customFormat="false" ht="15" hidden="false" customHeight="false" outlineLevel="0" collapsed="false">
      <c r="A5" s="7" t="s">
        <v>32</v>
      </c>
      <c r="B5" s="15" t="s">
        <v>33</v>
      </c>
    </row>
    <row r="6" customFormat="false" ht="15" hidden="false" customHeight="false" outlineLevel="0" collapsed="false">
      <c r="A6" s="7" t="s">
        <v>34</v>
      </c>
      <c r="B6" s="15" t="s">
        <v>35</v>
      </c>
    </row>
    <row r="7" customFormat="false" ht="15" hidden="false" customHeight="false" outlineLevel="0" collapsed="false">
      <c r="A7" s="7" t="s">
        <v>36</v>
      </c>
      <c r="B7" s="15" t="s">
        <v>37</v>
      </c>
    </row>
    <row r="8" customFormat="false" ht="15" hidden="false" customHeight="false" outlineLevel="0" collapsed="false">
      <c r="A8" s="7" t="s">
        <v>38</v>
      </c>
      <c r="B8" s="15" t="s">
        <v>39</v>
      </c>
    </row>
    <row r="9" customFormat="false" ht="15" hidden="false" customHeight="false" outlineLevel="0" collapsed="false">
      <c r="A9" s="7" t="s">
        <v>40</v>
      </c>
      <c r="B9" s="15" t="s">
        <v>41</v>
      </c>
    </row>
    <row r="11" customFormat="false" ht="15" hidden="false" customHeight="false" outlineLevel="0" collapsed="false">
      <c r="A11" s="10" t="s">
        <v>42</v>
      </c>
      <c r="B11" s="11" t="n">
        <f aca="false">2*(1/13)*(4/13)</f>
        <v>0.0473372781065089</v>
      </c>
    </row>
    <row r="13" customFormat="false" ht="15" hidden="false" customHeight="false" outlineLevel="0" collapsed="false">
      <c r="A13" s="5" t="s">
        <v>43</v>
      </c>
      <c r="B13" s="6" t="s">
        <v>44</v>
      </c>
    </row>
    <row r="14" customFormat="false" ht="15" hidden="false" customHeight="false" outlineLevel="0" collapsed="false">
      <c r="A14" s="7" t="s">
        <v>45</v>
      </c>
      <c r="B14" s="8" t="n">
        <v>0.995</v>
      </c>
    </row>
    <row r="15" customFormat="false" ht="15" hidden="false" customHeight="false" outlineLevel="0" collapsed="false">
      <c r="A15" s="12" t="s">
        <v>46</v>
      </c>
      <c r="B15" s="16" t="n">
        <v>0.9879</v>
      </c>
    </row>
    <row r="16" customFormat="false" ht="15" hidden="false" customHeight="false" outlineLevel="0" collapsed="false">
      <c r="A16" s="10" t="s">
        <v>47</v>
      </c>
      <c r="B16" s="11" t="n">
        <f aca="false">1-B15</f>
        <v>0.0121</v>
      </c>
    </row>
    <row r="18" customFormat="false" ht="15" hidden="false" customHeight="true" outlineLevel="0" collapsed="false">
      <c r="A18" s="14" t="s">
        <v>48</v>
      </c>
      <c r="B18" s="14"/>
      <c r="C18" s="14"/>
      <c r="D18" s="14"/>
      <c r="E18" s="14"/>
      <c r="F18" s="14"/>
    </row>
    <row r="19" customFormat="false" ht="15" hidden="false" customHeight="false" outlineLevel="0" collapsed="false">
      <c r="A19" s="14"/>
      <c r="B19" s="14"/>
      <c r="C19" s="14"/>
      <c r="D19" s="14"/>
      <c r="E19" s="14"/>
      <c r="F19" s="14"/>
    </row>
    <row r="20" customFormat="false" ht="15" hidden="false" customHeight="false" outlineLevel="0" collapsed="false">
      <c r="A20" s="14"/>
      <c r="B20" s="14"/>
      <c r="C20" s="14"/>
      <c r="D20" s="14"/>
      <c r="E20" s="14"/>
      <c r="F20" s="14"/>
    </row>
    <row r="21" customFormat="false" ht="15" hidden="false" customHeight="false" outlineLevel="0" collapsed="false">
      <c r="A21" s="14"/>
      <c r="B21" s="14"/>
      <c r="C21" s="14"/>
      <c r="D21" s="14"/>
      <c r="E21" s="14"/>
      <c r="F21" s="14"/>
    </row>
  </sheetData>
  <mergeCells count="1">
    <mergeCell ref="A18: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2026-06-14T23:10:44Z</dcterms:created>
  <dc:creator>openpyxl</dc:creator>
  <dc:description/>
  <dc:language>en-US</dc:language>
  <cp:lastModifiedBy/>
  <dcterms:modified xsi:type="dcterms:W3CDTF">2026-06-14T23:10:44Z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