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el Strips" sheetId="2" state="visible" r:id="rId4"/>
    <sheet name="Line Pay Model" sheetId="3" state="visible" r:id="rId5"/>
    <sheet name="Scatter &amp; Bonus" sheetId="4" state="visible" r:id="rId6"/>
    <sheet name="RTP Summary" sheetId="5" state="visible" r:id="rId7"/>
    <sheet name="Volatilit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<sst xmlns="http://schemas.openxmlformats.org/spreadsheetml/2006/main" count="145" uniqueCount="113">
  <si>
    <t xml:space="preserve">CINDERFALL: Slot Math Model</t>
  </si>
  <si>
    <t xml:space="preserve">5x3 video slot  ·  20 paylines  ·  Faizan Malek</t>
  </si>
  <si>
    <t xml:space="preserve">What this is</t>
  </si>
  <si>
    <t xml:space="preserve">A live model of the CINDERFALL slot. Every result is an Excel formula driven by the inputs, not a pasted number. Change a pay or a symbol count and the whole RTP recomputes.</t>
  </si>
  <si>
    <t xml:space="preserve">Sheets</t>
  </si>
  <si>
    <t xml:space="preserve">1  Reel Strips</t>
  </si>
  <si>
    <t xml:space="preserve">Symbol counts per reel and the probability of each symbol appearing on a reel.</t>
  </si>
  <si>
    <t xml:space="preserve">2  Line Pay Model</t>
  </si>
  <si>
    <t xml:space="preserve">Exact base-game line pays. For each symbol, the probability of exactly 3, 4 or 5 in a row (wilds substitute), times the pay, summed over all symbols and multiplied by 20 lines.</t>
  </si>
  <si>
    <t xml:space="preserve">3  Scatter &amp; Bonus</t>
  </si>
  <si>
    <t xml:space="preserve">Exact scatter probability by convolving each reel's window distribution, the bonus trigger rate, and the free-spin contribution.</t>
  </si>
  <si>
    <t xml:space="preserve">4  RTP Summary</t>
  </si>
  <si>
    <t xml:space="preserve">The assembled return: line + scatter + bonus, with a side-by-side check against a 1,000,000-spin simulation of the full game.</t>
  </si>
  <si>
    <t xml:space="preserve">5  Volatility</t>
  </si>
  <si>
    <t xml:space="preserve">Hit frequency and the standard deviation of return (the volatility), measured from the simulation, with the design rationale.</t>
  </si>
  <si>
    <t xml:space="preserve">Colour key</t>
  </si>
  <si>
    <t xml:space="preserve">BLUE text = an input you can change.   BLACK text = a formula (do not overwrite).   GREEN text = a value pulled from another sheet.</t>
  </si>
  <si>
    <t xml:space="preserve">Two methods</t>
  </si>
  <si>
    <t xml:space="preserve">Line and scatter pays are solved exactly (closed form). Wild interactions across overlapping lines and free-spin clustering are not perfectly closed-form, so the model is cross-checked against a full Monte Carlo simulation. Closed form for fast design iteration, simulation for certification: this is standard practice in slot mathematics.</t>
  </si>
  <si>
    <t xml:space="preserve">Reel composition</t>
  </si>
  <si>
    <t xml:space="preserve">Symbol counts per reel (BLUE inputs). Strip length and probabilities are formulas.</t>
  </si>
  <si>
    <t xml:space="preserve">Symbol</t>
  </si>
  <si>
    <t xml:space="preserve">Reel 1</t>
  </si>
  <si>
    <t xml:space="preserve">Reel 2</t>
  </si>
  <si>
    <t xml:space="preserve">Reel 3</t>
  </si>
  <si>
    <t xml:space="preserve">Reel 4</t>
  </si>
  <si>
    <t xml:space="preserve">Reel 5</t>
  </si>
  <si>
    <t xml:space="preserve">Ashen Crown (Wild)</t>
  </si>
  <si>
    <t xml:space="preserve">Bonfire</t>
  </si>
  <si>
    <t xml:space="preserve">Hollow King</t>
  </si>
  <si>
    <t xml:space="preserve">Cleric</t>
  </si>
  <si>
    <t xml:space="preserve">Estus Flask</t>
  </si>
  <si>
    <t xml:space="preserve">Ember Rune</t>
  </si>
  <si>
    <t xml:space="preserve">Ash Rune</t>
  </si>
  <si>
    <t xml:space="preserve">Bone Rune</t>
  </si>
  <si>
    <t xml:space="preserve">Iron Rune</t>
  </si>
  <si>
    <t xml:space="preserve">Boss Sigil (Scatter)</t>
  </si>
  <si>
    <t xml:space="preserve">Strip length</t>
  </si>
  <si>
    <t xml:space="preserve">Probability of symbol per reel</t>
  </si>
  <si>
    <t xml:space="preserve">Exact base-game line pay model</t>
  </si>
  <si>
    <t xml:space="preserve">p = probability a reel shows the symbol OR a wild. P(exactly n) = p1..pn x (1 - p(n+1)). EV per line = sum of P(n) x pay(n). Pays are x bet per line.</t>
  </si>
  <si>
    <t xml:space="preserve">p R1</t>
  </si>
  <si>
    <t xml:space="preserve">p R2</t>
  </si>
  <si>
    <t xml:space="preserve">p R3</t>
  </si>
  <si>
    <t xml:space="preserve">p R4</t>
  </si>
  <si>
    <t xml:space="preserve">p R5</t>
  </si>
  <si>
    <t xml:space="preserve">P(=3)</t>
  </si>
  <si>
    <t xml:space="preserve">P(=4)</t>
  </si>
  <si>
    <t xml:space="preserve">P(=5)</t>
  </si>
  <si>
    <t xml:space="preserve">Pay 3</t>
  </si>
  <si>
    <t xml:space="preserve">Pay 4</t>
  </si>
  <si>
    <t xml:space="preserve">Pay 5</t>
  </si>
  <si>
    <t xml:space="preserve">EV/line</t>
  </si>
  <si>
    <t xml:space="preserve">Wild overcount</t>
  </si>
  <si>
    <t xml:space="preserve">Sum EV/line (all symbols)</t>
  </si>
  <si>
    <t xml:space="preserve">Less wild overcount</t>
  </si>
  <si>
    <t xml:space="preserve">Net EV per line</t>
  </si>
  <si>
    <t xml:space="preserve">x 20 lines = line EV per spin (line-bet units)</t>
  </si>
  <si>
    <t xml:space="preserve">Line-pay RTP  (EV / 20 total bet)</t>
  </si>
  <si>
    <t xml:space="preserve">Why the small 'wild overcount' line exists: a run that is entirely wilds simultaneously satisfies every symbol's run, so the per-symbol sum counts those all-wild prefixes once for each symbol. The overcount column removes the duplicate counts at the symbol pay, leaving the all-wild prefixes to pay once at the higher wild rate (the top row). This is the only adjustment the closed form needs; all other interactions are verified by simulation.</t>
  </si>
  <si>
    <t xml:space="preserve">Scatter probability, trigger rate and bonus contribution</t>
  </si>
  <si>
    <t xml:space="preserve">Each reel shows a 3-symbol window. Per-reel window counts (BLUE) come from scanning the strips. The five reels are convolved exactly to get P(total scatters).</t>
  </si>
  <si>
    <t xml:space="preserve">Reel</t>
  </si>
  <si>
    <t xml:space="preserve">Windows w/0</t>
  </si>
  <si>
    <t xml:space="preserve">Windows w/1</t>
  </si>
  <si>
    <t xml:space="preserve">Windows w/2</t>
  </si>
  <si>
    <t xml:space="preserve">P(0)</t>
  </si>
  <si>
    <t xml:space="preserve">P(1)</t>
  </si>
  <si>
    <t xml:space="preserve">P(2)</t>
  </si>
  <si>
    <t xml:space="preserve">Convolution: P(total scatters = k)</t>
  </si>
  <si>
    <t xml:space="preserve">after reel</t>
  </si>
  <si>
    <t xml:space="preserve">reel 1</t>
  </si>
  <si>
    <t xml:space="preserve">reel 2</t>
  </si>
  <si>
    <t xml:space="preserve">reel 3</t>
  </si>
  <si>
    <t xml:space="preserve">reel 4</t>
  </si>
  <si>
    <t xml:space="preserve">reel 5</t>
  </si>
  <si>
    <t xml:space="preserve">k scatters</t>
  </si>
  <si>
    <t xml:space="preserve">P(k)</t>
  </si>
  <si>
    <t xml:space="preserve">Pay (x total bet)</t>
  </si>
  <si>
    <t xml:space="preserve">EV (x total bet)</t>
  </si>
  <si>
    <t xml:space="preserve">k = 3</t>
  </si>
  <si>
    <t xml:space="preserve">k = 4</t>
  </si>
  <si>
    <t xml:space="preserve">k = 5</t>
  </si>
  <si>
    <t xml:space="preserve">k = 6 +</t>
  </si>
  <si>
    <t xml:space="preserve">Scatter RTP (= EV in total-bet units)</t>
  </si>
  <si>
    <t xml:space="preserve">P(bonus trigger) = P(k&gt;=3)</t>
  </si>
  <si>
    <t xml:space="preserve">Bonus odds: 1 in</t>
  </si>
  <si>
    <t xml:space="preserve">Expected free spins per trigger = 8 / (1 - 8 x P(trigger))</t>
  </si>
  <si>
    <t xml:space="preserve">Free-spin win multiplier</t>
  </si>
  <si>
    <t xml:space="preserve">The convolution is exact: it combines every reel's chance of showing 0, 1 or 2 scatters into the full distribution of total scatters per spin. Reel 3 can show 2 scatters in one window, which is why its P(2) is non-zero and why the trigger rate is higher than a naive one-per-reel estimate. Expected free spins uses the geometric series for retriggers.</t>
  </si>
  <si>
    <t xml:space="preserve">Return to Player: assembly and verification</t>
  </si>
  <si>
    <t xml:space="preserve">All formulas. The simulation figure is from a 1,000,000-spin run of the full engine.</t>
  </si>
  <si>
    <t xml:space="preserve">Component</t>
  </si>
  <si>
    <t xml:space="preserve">RTP</t>
  </si>
  <si>
    <t xml:space="preserve">Line pays (exact)</t>
  </si>
  <si>
    <t xml:space="preserve">Scatter pays (exact)</t>
  </si>
  <si>
    <t xml:space="preserve">Base spin (line + scatter)</t>
  </si>
  <si>
    <t xml:space="preserve">Boss Bonus = P(trigger) x E(spins) x mult x base</t>
  </si>
  <si>
    <t xml:space="preserve">TOTAL RTP  (closed form)</t>
  </si>
  <si>
    <t xml:space="preserve">TOTAL RTP  (1,000,000-spin simulation)</t>
  </si>
  <si>
    <t xml:space="preserve">Difference (closed form - simulation)</t>
  </si>
  <si>
    <t xml:space="preserve">Bonus trigger rate</t>
  </si>
  <si>
    <t xml:space="preserve">The closed form and the simulation agree to within about half a percent. The small gap comes from wild interactions across simultaneously winning lines and from win clustering inside the bonus, which the closed form approximates but the full simulation captures exactly. Reporting both, and explaining the gap, is how slot math is actually validated for certification.</t>
  </si>
  <si>
    <t xml:space="preserve">Volatility and player experience</t>
  </si>
  <si>
    <t xml:space="preserve">Measured from the 1,000,000-spin simulation of the full engine.</t>
  </si>
  <si>
    <t xml:space="preserve">Metric</t>
  </si>
  <si>
    <t xml:space="preserve">Value</t>
  </si>
  <si>
    <t xml:space="preserve">Hit frequency (spins with any win)</t>
  </si>
  <si>
    <t xml:space="preserve">Volatility: standard deviation of return per spin</t>
  </si>
  <si>
    <t xml:space="preserve">Largest single-spin win observed</t>
  </si>
  <si>
    <t xml:space="preserve">Volatility class</t>
  </si>
  <si>
    <t xml:space="preserve">Medium to high</t>
  </si>
  <si>
    <t xml:space="preserve">RTP and volatility are independent levers. CINDERFALL holds RTP near 94% while concentrating return into the rare Boss Bonus and the 5-of-a-kind premiums, producing a medium-to-high volatility that fits the Soulslike theme of long droughts and decisive payoffs. To make a smoother, more casual game at the SAME RTP, shift pay weight from the Bonfire and Crown 5-of-a-kind down into 3-of-a-kind low pays: hit frequency rises and the standard deviation falls, with no change in total return. Naming that trade is part of the design.</t>
  </si>
</sst>
</file>

<file path=xl/styles.xml><?xml version="1.0" encoding="utf-8"?>
<styleSheet xmlns="http://schemas.openxmlformats.org/spreadsheetml/2006/main">
  <numFmts count="12">
    <numFmt numFmtId="164" formatCode="General"/>
    <numFmt numFmtId="165" formatCode="0.000%"/>
    <numFmt numFmtId="166" formatCode="0.0000%"/>
    <numFmt numFmtId="167" formatCode="0.0000"/>
    <numFmt numFmtId="168" formatCode="0.00%"/>
    <numFmt numFmtId="169" formatCode="General"/>
    <numFmt numFmtId="170" formatCode="0.00000%"/>
    <numFmt numFmtId="171" formatCode="0.0"/>
    <numFmt numFmtId="172" formatCode="0.00"/>
    <numFmt numFmtId="173" formatCode="&quot;1 in &quot;0.0"/>
    <numFmt numFmtId="174" formatCode="0&quot;x total bet&quot;"/>
    <numFmt numFmtId="175" formatCode="@"/>
  </numFmts>
  <fonts count="13">
    <font>
      <sz val="11"/>
      <color theme="1"/>
      <name val="Calibri"/>
      <family val="2"/>
      <charset val="1"/>
    </font>
    <font>
      <sz val="10"/>
      <name val="Arial"/>
      <family val="0"/>
    </font>
    <font>
      <sz val="10"/>
      <name val="Arial"/>
      <family val="0"/>
    </font>
    <font>
      <sz val="10"/>
      <name val="Arial"/>
      <family val="0"/>
    </font>
    <font>
      <b val="true"/>
      <sz val="16"/>
      <color rgb="FF1A1A1A"/>
      <name val="Arial"/>
      <family val="0"/>
      <charset val="1"/>
    </font>
    <font>
      <i val="true"/>
      <sz val="10"/>
      <color rgb="FF777777"/>
      <name val="Arial"/>
      <family val="0"/>
      <charset val="1"/>
    </font>
    <font>
      <b val="true"/>
      <sz val="10"/>
      <color rgb="FF000000"/>
      <name val="Arial"/>
      <family val="0"/>
      <charset val="1"/>
    </font>
    <font>
      <sz val="10"/>
      <color rgb="FF1A1A1A"/>
      <name val="Arial"/>
      <family val="0"/>
      <charset val="1"/>
    </font>
    <font>
      <sz val="10"/>
      <color rgb="FF000000"/>
      <name val="Arial"/>
      <family val="0"/>
      <charset val="1"/>
    </font>
    <font>
      <sz val="10"/>
      <color rgb="FF0000FF"/>
      <name val="Arial"/>
      <family val="0"/>
      <charset val="1"/>
    </font>
    <font>
      <sz val="10"/>
      <color rgb="FF008000"/>
      <name val="Arial"/>
      <family val="0"/>
      <charset val="1"/>
    </font>
    <font>
      <i val="true"/>
      <sz val="9"/>
      <color rgb="FF777777"/>
      <name val="Arial"/>
      <family val="0"/>
      <charset val="1"/>
    </font>
    <font>
      <b val="true"/>
      <sz val="10"/>
      <color rgb="FF0000FF"/>
      <name val="Arial"/>
      <family val="0"/>
      <charset val="1"/>
    </font>
  </fonts>
  <fills count="4">
    <fill>
      <patternFill patternType="none"/>
    </fill>
    <fill>
      <patternFill patternType="gray125"/>
    </fill>
    <fill>
      <patternFill patternType="solid">
        <fgColor rgb="FFF1E5D6"/>
        <bgColor rgb="FFFDF3C4"/>
      </patternFill>
    </fill>
    <fill>
      <patternFill patternType="solid">
        <fgColor rgb="FFFDF3C4"/>
        <bgColor rgb="FFF1E5D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7" fontId="6"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8" fontId="6"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71" fontId="6" fillId="0" borderId="1" xfId="0" applyFont="true" applyBorder="true" applyAlignment="true" applyProtection="false">
      <alignment horizontal="center" vertical="center" textRotation="0" wrapText="false" indent="0" shrinkToFit="false"/>
      <protection locked="true" hidden="false"/>
    </xf>
    <xf numFmtId="172" fontId="8"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8" fontId="12" fillId="3"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73" fontId="10"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72" fontId="9" fillId="0" borderId="1" xfId="0" applyFont="true" applyBorder="true" applyAlignment="true" applyProtection="false">
      <alignment horizontal="center" vertical="center" textRotation="0" wrapText="false" indent="0" shrinkToFit="false"/>
      <protection locked="true" hidden="false"/>
    </xf>
    <xf numFmtId="174" fontId="9" fillId="0" borderId="1" xfId="0" applyFont="true" applyBorder="true" applyAlignment="true" applyProtection="false">
      <alignment horizontal="center" vertical="center" textRotation="0" wrapText="false" indent="0" shrinkToFit="false"/>
      <protection locked="true" hidden="false"/>
    </xf>
    <xf numFmtId="175" fontId="7"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E5D6"/>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FDF3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4"/>
  </cols>
  <sheetData>
    <row r="1" customFormat="false" ht="19.7"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4" t="s">
        <v>3</v>
      </c>
    </row>
    <row r="5" customFormat="false" ht="12" hidden="false" customHeight="true" outlineLevel="0" collapsed="false"/>
    <row r="6" customFormat="false" ht="12" hidden="false" customHeight="true" outlineLevel="0" collapsed="false">
      <c r="A6" s="3" t="s">
        <v>4</v>
      </c>
    </row>
    <row r="7" customFormat="false" ht="30" hidden="false" customHeight="true" outlineLevel="0" collapsed="false">
      <c r="A7" s="3" t="s">
        <v>5</v>
      </c>
      <c r="B7" s="4" t="s">
        <v>6</v>
      </c>
    </row>
    <row r="8" customFormat="false" ht="42" hidden="false" customHeight="true" outlineLevel="0" collapsed="false">
      <c r="A8" s="3" t="s">
        <v>7</v>
      </c>
      <c r="B8" s="4" t="s">
        <v>8</v>
      </c>
    </row>
    <row r="9" customFormat="false" ht="42" hidden="false" customHeight="true" outlineLevel="0" collapsed="false">
      <c r="A9" s="3" t="s">
        <v>9</v>
      </c>
      <c r="B9" s="4" t="s">
        <v>10</v>
      </c>
    </row>
    <row r="10" customFormat="false" ht="42" hidden="false" customHeight="true" outlineLevel="0" collapsed="false">
      <c r="A10" s="3" t="s">
        <v>11</v>
      </c>
      <c r="B10" s="4" t="s">
        <v>12</v>
      </c>
    </row>
    <row r="11" customFormat="false" ht="42" hidden="false" customHeight="true" outlineLevel="0" collapsed="false">
      <c r="A11" s="3" t="s">
        <v>13</v>
      </c>
      <c r="B11" s="4" t="s">
        <v>14</v>
      </c>
    </row>
    <row r="12" customFormat="false" ht="12" hidden="false" customHeight="true" outlineLevel="0" collapsed="false"/>
    <row r="13" customFormat="false" ht="42" hidden="false" customHeight="true" outlineLevel="0" collapsed="false">
      <c r="A13" s="3" t="s">
        <v>15</v>
      </c>
      <c r="B13" s="4" t="s">
        <v>16</v>
      </c>
    </row>
    <row r="14" customFormat="false" ht="42" hidden="false" customHeight="true" outlineLevel="0" collapsed="false">
      <c r="A14" s="3" t="s">
        <v>17</v>
      </c>
      <c r="B14"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1"/>
  </cols>
  <sheetData>
    <row r="1" customFormat="false" ht="19.7" hidden="false" customHeight="false" outlineLevel="0" collapsed="false">
      <c r="A1" s="1" t="s">
        <v>19</v>
      </c>
    </row>
    <row r="2" customFormat="false" ht="15" hidden="false" customHeight="false" outlineLevel="0" collapsed="false">
      <c r="A2" s="2" t="s">
        <v>20</v>
      </c>
    </row>
    <row r="4" customFormat="false" ht="15" hidden="false" customHeight="false" outlineLevel="0" collapsed="false">
      <c r="A4" s="5" t="s">
        <v>21</v>
      </c>
      <c r="B4" s="6" t="s">
        <v>22</v>
      </c>
      <c r="C4" s="6" t="s">
        <v>23</v>
      </c>
      <c r="D4" s="6" t="s">
        <v>24</v>
      </c>
      <c r="E4" s="6" t="s">
        <v>25</v>
      </c>
      <c r="F4" s="6" t="s">
        <v>26</v>
      </c>
    </row>
    <row r="5" customFormat="false" ht="15" hidden="false" customHeight="false" outlineLevel="0" collapsed="false">
      <c r="A5" s="7" t="s">
        <v>27</v>
      </c>
      <c r="B5" s="8" t="n">
        <v>2</v>
      </c>
      <c r="C5" s="8" t="n">
        <v>2</v>
      </c>
      <c r="D5" s="8" t="n">
        <v>3</v>
      </c>
      <c r="E5" s="8" t="n">
        <v>2</v>
      </c>
      <c r="F5" s="8" t="n">
        <v>2</v>
      </c>
    </row>
    <row r="6" customFormat="false" ht="15" hidden="false" customHeight="false" outlineLevel="0" collapsed="false">
      <c r="A6" s="7" t="s">
        <v>28</v>
      </c>
      <c r="B6" s="8" t="n">
        <v>2</v>
      </c>
      <c r="C6" s="8" t="n">
        <v>2</v>
      </c>
      <c r="D6" s="8" t="n">
        <v>2</v>
      </c>
      <c r="E6" s="8" t="n">
        <v>2</v>
      </c>
      <c r="F6" s="8" t="n">
        <v>2</v>
      </c>
    </row>
    <row r="7" customFormat="false" ht="15" hidden="false" customHeight="false" outlineLevel="0" collapsed="false">
      <c r="A7" s="7" t="s">
        <v>29</v>
      </c>
      <c r="B7" s="8" t="n">
        <v>3</v>
      </c>
      <c r="C7" s="8" t="n">
        <v>3</v>
      </c>
      <c r="D7" s="8" t="n">
        <v>3</v>
      </c>
      <c r="E7" s="8" t="n">
        <v>3</v>
      </c>
      <c r="F7" s="8" t="n">
        <v>3</v>
      </c>
    </row>
    <row r="8" customFormat="false" ht="15" hidden="false" customHeight="false" outlineLevel="0" collapsed="false">
      <c r="A8" s="7" t="s">
        <v>30</v>
      </c>
      <c r="B8" s="8" t="n">
        <v>4</v>
      </c>
      <c r="C8" s="8" t="n">
        <v>4</v>
      </c>
      <c r="D8" s="8" t="n">
        <v>4</v>
      </c>
      <c r="E8" s="8" t="n">
        <v>4</v>
      </c>
      <c r="F8" s="8" t="n">
        <v>4</v>
      </c>
    </row>
    <row r="9" customFormat="false" ht="15" hidden="false" customHeight="false" outlineLevel="0" collapsed="false">
      <c r="A9" s="7" t="s">
        <v>31</v>
      </c>
      <c r="B9" s="8" t="n">
        <v>5</v>
      </c>
      <c r="C9" s="8" t="n">
        <v>5</v>
      </c>
      <c r="D9" s="8" t="n">
        <v>5</v>
      </c>
      <c r="E9" s="8" t="n">
        <v>5</v>
      </c>
      <c r="F9" s="8" t="n">
        <v>5</v>
      </c>
    </row>
    <row r="10" customFormat="false" ht="15" hidden="false" customHeight="false" outlineLevel="0" collapsed="false">
      <c r="A10" s="7" t="s">
        <v>32</v>
      </c>
      <c r="B10" s="8" t="n">
        <v>6</v>
      </c>
      <c r="C10" s="8" t="n">
        <v>6</v>
      </c>
      <c r="D10" s="8" t="n">
        <v>6</v>
      </c>
      <c r="E10" s="8" t="n">
        <v>6</v>
      </c>
      <c r="F10" s="8" t="n">
        <v>6</v>
      </c>
    </row>
    <row r="11" customFormat="false" ht="15" hidden="false" customHeight="false" outlineLevel="0" collapsed="false">
      <c r="A11" s="7" t="s">
        <v>33</v>
      </c>
      <c r="B11" s="8" t="n">
        <v>6</v>
      </c>
      <c r="C11" s="8" t="n">
        <v>6</v>
      </c>
      <c r="D11" s="8" t="n">
        <v>6</v>
      </c>
      <c r="E11" s="8" t="n">
        <v>6</v>
      </c>
      <c r="F11" s="8" t="n">
        <v>6</v>
      </c>
    </row>
    <row r="12" customFormat="false" ht="15" hidden="false" customHeight="false" outlineLevel="0" collapsed="false">
      <c r="A12" s="7" t="s">
        <v>34</v>
      </c>
      <c r="B12" s="8" t="n">
        <v>7</v>
      </c>
      <c r="C12" s="8" t="n">
        <v>7</v>
      </c>
      <c r="D12" s="8" t="n">
        <v>7</v>
      </c>
      <c r="E12" s="8" t="n">
        <v>7</v>
      </c>
      <c r="F12" s="8" t="n">
        <v>7</v>
      </c>
    </row>
    <row r="13" customFormat="false" ht="15" hidden="false" customHeight="false" outlineLevel="0" collapsed="false">
      <c r="A13" s="7" t="s">
        <v>35</v>
      </c>
      <c r="B13" s="8" t="n">
        <v>7</v>
      </c>
      <c r="C13" s="8" t="n">
        <v>7</v>
      </c>
      <c r="D13" s="8" t="n">
        <v>7</v>
      </c>
      <c r="E13" s="8" t="n">
        <v>7</v>
      </c>
      <c r="F13" s="8" t="n">
        <v>7</v>
      </c>
    </row>
    <row r="14" customFormat="false" ht="15" hidden="false" customHeight="false" outlineLevel="0" collapsed="false">
      <c r="A14" s="7" t="s">
        <v>36</v>
      </c>
      <c r="B14" s="8" t="n">
        <v>2</v>
      </c>
      <c r="C14" s="8" t="n">
        <v>2</v>
      </c>
      <c r="D14" s="8" t="n">
        <v>2</v>
      </c>
      <c r="E14" s="8" t="n">
        <v>2</v>
      </c>
      <c r="F14" s="8" t="n">
        <v>2</v>
      </c>
    </row>
    <row r="15" customFormat="false" ht="15" hidden="false" customHeight="false" outlineLevel="0" collapsed="false">
      <c r="A15" s="5" t="s">
        <v>37</v>
      </c>
      <c r="B15" s="6" t="n">
        <f aca="false">SUM(B5:B14)</f>
        <v>44</v>
      </c>
      <c r="C15" s="6" t="n">
        <f aca="false">SUM(C5:C14)</f>
        <v>44</v>
      </c>
      <c r="D15" s="6" t="n">
        <f aca="false">SUM(D5:D14)</f>
        <v>45</v>
      </c>
      <c r="E15" s="6" t="n">
        <f aca="false">SUM(E5:E14)</f>
        <v>44</v>
      </c>
      <c r="F15" s="6" t="n">
        <f aca="false">SUM(F5:F14)</f>
        <v>44</v>
      </c>
    </row>
    <row r="17" customFormat="false" ht="15" hidden="false" customHeight="false" outlineLevel="0" collapsed="false">
      <c r="A17" s="5" t="s">
        <v>38</v>
      </c>
      <c r="B17" s="6" t="s">
        <v>22</v>
      </c>
      <c r="C17" s="6" t="s">
        <v>23</v>
      </c>
      <c r="D17" s="6" t="s">
        <v>24</v>
      </c>
      <c r="E17" s="6" t="s">
        <v>25</v>
      </c>
      <c r="F17" s="6" t="s">
        <v>26</v>
      </c>
    </row>
    <row r="18" customFormat="false" ht="15" hidden="false" customHeight="false" outlineLevel="0" collapsed="false">
      <c r="A18" s="7" t="s">
        <v>27</v>
      </c>
      <c r="B18" s="9" t="n">
        <f aca="false">B5/B$15</f>
        <v>0.0454545454545455</v>
      </c>
      <c r="C18" s="9" t="n">
        <f aca="false">C5/C$15</f>
        <v>0.0454545454545455</v>
      </c>
      <c r="D18" s="9" t="n">
        <f aca="false">D5/D$15</f>
        <v>0.0666666666666667</v>
      </c>
      <c r="E18" s="9" t="n">
        <f aca="false">E5/E$15</f>
        <v>0.0454545454545455</v>
      </c>
      <c r="F18" s="9" t="n">
        <f aca="false">F5/F$15</f>
        <v>0.0454545454545455</v>
      </c>
    </row>
    <row r="19" customFormat="false" ht="15" hidden="false" customHeight="false" outlineLevel="0" collapsed="false">
      <c r="A19" s="7" t="s">
        <v>28</v>
      </c>
      <c r="B19" s="9" t="n">
        <f aca="false">B6/B$15</f>
        <v>0.0454545454545455</v>
      </c>
      <c r="C19" s="9" t="n">
        <f aca="false">C6/C$15</f>
        <v>0.0454545454545455</v>
      </c>
      <c r="D19" s="9" t="n">
        <f aca="false">D6/D$15</f>
        <v>0.0444444444444444</v>
      </c>
      <c r="E19" s="9" t="n">
        <f aca="false">E6/E$15</f>
        <v>0.0454545454545455</v>
      </c>
      <c r="F19" s="9" t="n">
        <f aca="false">F6/F$15</f>
        <v>0.0454545454545455</v>
      </c>
    </row>
    <row r="20" customFormat="false" ht="15" hidden="false" customHeight="false" outlineLevel="0" collapsed="false">
      <c r="A20" s="7" t="s">
        <v>29</v>
      </c>
      <c r="B20" s="9" t="n">
        <f aca="false">B7/B$15</f>
        <v>0.0681818181818182</v>
      </c>
      <c r="C20" s="9" t="n">
        <f aca="false">C7/C$15</f>
        <v>0.0681818181818182</v>
      </c>
      <c r="D20" s="9" t="n">
        <f aca="false">D7/D$15</f>
        <v>0.0666666666666667</v>
      </c>
      <c r="E20" s="9" t="n">
        <f aca="false">E7/E$15</f>
        <v>0.0681818181818182</v>
      </c>
      <c r="F20" s="9" t="n">
        <f aca="false">F7/F$15</f>
        <v>0.0681818181818182</v>
      </c>
    </row>
    <row r="21" customFormat="false" ht="15" hidden="false" customHeight="false" outlineLevel="0" collapsed="false">
      <c r="A21" s="7" t="s">
        <v>30</v>
      </c>
      <c r="B21" s="9" t="n">
        <f aca="false">B8/B$15</f>
        <v>0.0909090909090909</v>
      </c>
      <c r="C21" s="9" t="n">
        <f aca="false">C8/C$15</f>
        <v>0.0909090909090909</v>
      </c>
      <c r="D21" s="9" t="n">
        <f aca="false">D8/D$15</f>
        <v>0.0888888888888889</v>
      </c>
      <c r="E21" s="9" t="n">
        <f aca="false">E8/E$15</f>
        <v>0.0909090909090909</v>
      </c>
      <c r="F21" s="9" t="n">
        <f aca="false">F8/F$15</f>
        <v>0.0909090909090909</v>
      </c>
    </row>
    <row r="22" customFormat="false" ht="15" hidden="false" customHeight="false" outlineLevel="0" collapsed="false">
      <c r="A22" s="7" t="s">
        <v>31</v>
      </c>
      <c r="B22" s="9" t="n">
        <f aca="false">B9/B$15</f>
        <v>0.113636363636364</v>
      </c>
      <c r="C22" s="9" t="n">
        <f aca="false">C9/C$15</f>
        <v>0.113636363636364</v>
      </c>
      <c r="D22" s="9" t="n">
        <f aca="false">D9/D$15</f>
        <v>0.111111111111111</v>
      </c>
      <c r="E22" s="9" t="n">
        <f aca="false">E9/E$15</f>
        <v>0.113636363636364</v>
      </c>
      <c r="F22" s="9" t="n">
        <f aca="false">F9/F$15</f>
        <v>0.113636363636364</v>
      </c>
    </row>
    <row r="23" customFormat="false" ht="15" hidden="false" customHeight="false" outlineLevel="0" collapsed="false">
      <c r="A23" s="7" t="s">
        <v>32</v>
      </c>
      <c r="B23" s="9" t="n">
        <f aca="false">B10/B$15</f>
        <v>0.136363636363636</v>
      </c>
      <c r="C23" s="9" t="n">
        <f aca="false">C10/C$15</f>
        <v>0.136363636363636</v>
      </c>
      <c r="D23" s="9" t="n">
        <f aca="false">D10/D$15</f>
        <v>0.133333333333333</v>
      </c>
      <c r="E23" s="9" t="n">
        <f aca="false">E10/E$15</f>
        <v>0.136363636363636</v>
      </c>
      <c r="F23" s="9" t="n">
        <f aca="false">F10/F$15</f>
        <v>0.136363636363636</v>
      </c>
    </row>
    <row r="24" customFormat="false" ht="15" hidden="false" customHeight="false" outlineLevel="0" collapsed="false">
      <c r="A24" s="7" t="s">
        <v>33</v>
      </c>
      <c r="B24" s="9" t="n">
        <f aca="false">B11/B$15</f>
        <v>0.136363636363636</v>
      </c>
      <c r="C24" s="9" t="n">
        <f aca="false">C11/C$15</f>
        <v>0.136363636363636</v>
      </c>
      <c r="D24" s="9" t="n">
        <f aca="false">D11/D$15</f>
        <v>0.133333333333333</v>
      </c>
      <c r="E24" s="9" t="n">
        <f aca="false">E11/E$15</f>
        <v>0.136363636363636</v>
      </c>
      <c r="F24" s="9" t="n">
        <f aca="false">F11/F$15</f>
        <v>0.136363636363636</v>
      </c>
    </row>
    <row r="25" customFormat="false" ht="15" hidden="false" customHeight="false" outlineLevel="0" collapsed="false">
      <c r="A25" s="7" t="s">
        <v>34</v>
      </c>
      <c r="B25" s="9" t="n">
        <f aca="false">B12/B$15</f>
        <v>0.159090909090909</v>
      </c>
      <c r="C25" s="9" t="n">
        <f aca="false">C12/C$15</f>
        <v>0.159090909090909</v>
      </c>
      <c r="D25" s="9" t="n">
        <f aca="false">D12/D$15</f>
        <v>0.155555555555556</v>
      </c>
      <c r="E25" s="9" t="n">
        <f aca="false">E12/E$15</f>
        <v>0.159090909090909</v>
      </c>
      <c r="F25" s="9" t="n">
        <f aca="false">F12/F$15</f>
        <v>0.159090909090909</v>
      </c>
    </row>
    <row r="26" customFormat="false" ht="15" hidden="false" customHeight="false" outlineLevel="0" collapsed="false">
      <c r="A26" s="7" t="s">
        <v>35</v>
      </c>
      <c r="B26" s="9" t="n">
        <f aca="false">B13/B$15</f>
        <v>0.159090909090909</v>
      </c>
      <c r="C26" s="9" t="n">
        <f aca="false">C13/C$15</f>
        <v>0.159090909090909</v>
      </c>
      <c r="D26" s="9" t="n">
        <f aca="false">D13/D$15</f>
        <v>0.155555555555556</v>
      </c>
      <c r="E26" s="9" t="n">
        <f aca="false">E13/E$15</f>
        <v>0.159090909090909</v>
      </c>
      <c r="F26" s="9" t="n">
        <f aca="false">F13/F$15</f>
        <v>0.159090909090909</v>
      </c>
    </row>
    <row r="27" customFormat="false" ht="15" hidden="false" customHeight="false" outlineLevel="0" collapsed="false">
      <c r="A27" s="7" t="s">
        <v>36</v>
      </c>
      <c r="B27" s="9" t="n">
        <f aca="false">B14/B$15</f>
        <v>0.0454545454545455</v>
      </c>
      <c r="C27" s="9" t="n">
        <f aca="false">C14/C$15</f>
        <v>0.0454545454545455</v>
      </c>
      <c r="D27" s="9" t="n">
        <f aca="false">D14/D$15</f>
        <v>0.0444444444444444</v>
      </c>
      <c r="E27" s="9" t="n">
        <f aca="false">E14/E$15</f>
        <v>0.0454545454545455</v>
      </c>
      <c r="F27" s="9" t="n">
        <f aca="false">F14/F$15</f>
        <v>0.0454545454545455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4" min="2" style="0" width="10"/>
  </cols>
  <sheetData>
    <row r="1" customFormat="false" ht="19.7" hidden="false" customHeight="false" outlineLevel="0" collapsed="false">
      <c r="A1" s="1" t="s">
        <v>39</v>
      </c>
    </row>
    <row r="2" customFormat="false" ht="15" hidden="false" customHeight="false" outlineLevel="0" collapsed="false">
      <c r="A2" s="2" t="s">
        <v>40</v>
      </c>
    </row>
    <row r="5" customFormat="false" ht="15" hidden="false" customHeight="false" outlineLevel="0" collapsed="false">
      <c r="A5" s="5" t="s">
        <v>21</v>
      </c>
      <c r="B5" s="6" t="s">
        <v>41</v>
      </c>
      <c r="C5" s="6" t="s">
        <v>42</v>
      </c>
      <c r="D5" s="6" t="s">
        <v>43</v>
      </c>
      <c r="E5" s="6" t="s">
        <v>44</v>
      </c>
      <c r="F5" s="6" t="s">
        <v>45</v>
      </c>
      <c r="G5" s="6" t="s">
        <v>46</v>
      </c>
      <c r="H5" s="6" t="s">
        <v>47</v>
      </c>
      <c r="I5" s="6" t="s">
        <v>48</v>
      </c>
      <c r="J5" s="6" t="s">
        <v>49</v>
      </c>
      <c r="K5" s="6" t="s">
        <v>50</v>
      </c>
      <c r="L5" s="6" t="s">
        <v>51</v>
      </c>
      <c r="M5" s="6" t="s">
        <v>52</v>
      </c>
      <c r="N5" s="6" t="s">
        <v>53</v>
      </c>
    </row>
    <row r="6" customFormat="false" ht="15" hidden="false" customHeight="false" outlineLevel="0" collapsed="false">
      <c r="A6" s="7" t="s">
        <v>27</v>
      </c>
      <c r="B6" s="10" t="n">
        <f aca="false">'Reel Strips'!B18</f>
        <v>0.0454545454545455</v>
      </c>
      <c r="C6" s="10" t="n">
        <f aca="false">'Reel Strips'!C18</f>
        <v>0.0454545454545455</v>
      </c>
      <c r="D6" s="10" t="n">
        <f aca="false">'Reel Strips'!D18</f>
        <v>0.0666666666666667</v>
      </c>
      <c r="E6" s="10" t="n">
        <f aca="false">'Reel Strips'!E18</f>
        <v>0.0454545454545455</v>
      </c>
      <c r="F6" s="10" t="n">
        <f aca="false">'Reel Strips'!F18</f>
        <v>0.0454545454545455</v>
      </c>
      <c r="G6" s="11" t="n">
        <f aca="false">B6*C6*D6*(1-E6)</f>
        <v>0.000131480090157776</v>
      </c>
      <c r="H6" s="11" t="n">
        <f aca="false">B6*C6*D6*E6*(1-F6)</f>
        <v>5.97636773444437E-006</v>
      </c>
      <c r="I6" s="11" t="n">
        <f aca="false">B6*C6*D6*E6*F6</f>
        <v>2.84588939735446E-007</v>
      </c>
      <c r="J6" s="8" t="n">
        <v>55</v>
      </c>
      <c r="K6" s="8" t="n">
        <v>280</v>
      </c>
      <c r="L6" s="8" t="n">
        <v>1050</v>
      </c>
      <c r="M6" s="12" t="n">
        <f aca="false">G6*J6+H6*K6+I6*L6</f>
        <v>0.00920360631104433</v>
      </c>
      <c r="N6" s="12" t="n">
        <v>0</v>
      </c>
    </row>
    <row r="7" customFormat="false" ht="15" hidden="false" customHeight="false" outlineLevel="0" collapsed="false">
      <c r="A7" s="7" t="s">
        <v>28</v>
      </c>
      <c r="B7" s="10" t="n">
        <f aca="false">'Reel Strips'!B18+'Reel Strips'!B19</f>
        <v>0.0909090909090909</v>
      </c>
      <c r="C7" s="10" t="n">
        <f aca="false">'Reel Strips'!C18+'Reel Strips'!C19</f>
        <v>0.0909090909090909</v>
      </c>
      <c r="D7" s="10" t="n">
        <f aca="false">'Reel Strips'!D18+'Reel Strips'!D19</f>
        <v>0.111111111111111</v>
      </c>
      <c r="E7" s="10" t="n">
        <f aca="false">'Reel Strips'!E18+'Reel Strips'!E19</f>
        <v>0.0909090909090909</v>
      </c>
      <c r="F7" s="10" t="n">
        <f aca="false">'Reel Strips'!F18+'Reel Strips'!F19</f>
        <v>0.0909090909090909</v>
      </c>
      <c r="G7" s="11" t="n">
        <f aca="false">B7*C7*D7*(1-E7)</f>
        <v>0.000834794223223975</v>
      </c>
      <c r="H7" s="11" t="n">
        <f aca="false">B7*C7*D7*E7*(1-F7)</f>
        <v>7.58903839294523E-005</v>
      </c>
      <c r="I7" s="11" t="n">
        <f aca="false">B7*C7*D7*E7*F7</f>
        <v>7.58903839294523E-006</v>
      </c>
      <c r="J7" s="8" t="n">
        <v>22</v>
      </c>
      <c r="K7" s="8" t="n">
        <v>110</v>
      </c>
      <c r="L7" s="8" t="n">
        <v>525</v>
      </c>
      <c r="M7" s="12" t="n">
        <f aca="false">G7*J7+H7*K7+I7*L7</f>
        <v>0.0306976602994635</v>
      </c>
      <c r="N7" s="12" t="n">
        <f aca="false">$B$6*$C$6*$D$6*(1-E7)*J7+$B$6*$C$6*$D$6*$E$6*(1-F7)*K7+$B$6*$C$6*$D$6*$E$6*$F$6*L7</f>
        <v>0.00353032579741821</v>
      </c>
    </row>
    <row r="8" customFormat="false" ht="15" hidden="false" customHeight="false" outlineLevel="0" collapsed="false">
      <c r="A8" s="7" t="s">
        <v>29</v>
      </c>
      <c r="B8" s="10" t="n">
        <f aca="false">'Reel Strips'!B18+'Reel Strips'!B20</f>
        <v>0.113636363636364</v>
      </c>
      <c r="C8" s="10" t="n">
        <f aca="false">'Reel Strips'!C18+'Reel Strips'!C20</f>
        <v>0.113636363636364</v>
      </c>
      <c r="D8" s="10" t="n">
        <f aca="false">'Reel Strips'!D18+'Reel Strips'!D20</f>
        <v>0.133333333333333</v>
      </c>
      <c r="E8" s="10" t="n">
        <f aca="false">'Reel Strips'!E18+'Reel Strips'!E20</f>
        <v>0.113636363636364</v>
      </c>
      <c r="F8" s="10" t="n">
        <f aca="false">'Reel Strips'!F18+'Reel Strips'!F20</f>
        <v>0.113636363636364</v>
      </c>
      <c r="G8" s="11" t="n">
        <f aca="false">B8*C8*D8*(1-E8)</f>
        <v>0.00152610818933133</v>
      </c>
      <c r="H8" s="11" t="n">
        <f aca="false">B8*C8*D8*E8*(1-F8)</f>
        <v>0.000173421385151287</v>
      </c>
      <c r="I8" s="11" t="n">
        <f aca="false">B8*C8*D8*E8*F8</f>
        <v>2.22335109168317E-005</v>
      </c>
      <c r="J8" s="8" t="n">
        <v>16</v>
      </c>
      <c r="K8" s="8" t="n">
        <v>68</v>
      </c>
      <c r="L8" s="8" t="n">
        <v>320</v>
      </c>
      <c r="M8" s="12" t="n">
        <f aca="false">G8*J8+H8*K8+I8*L8</f>
        <v>0.043325108712975</v>
      </c>
      <c r="N8" s="12" t="n">
        <f aca="false">$B$6*$C$6*$D$6*(1-E8)*J8+$B$6*$C$6*$D$6*$E$6*(1-F8)*K8+$B$6*$C$6*$D$6*$E$6*$F$6*L8</f>
        <v>0.00242185187714865</v>
      </c>
    </row>
    <row r="9" customFormat="false" ht="15" hidden="false" customHeight="false" outlineLevel="0" collapsed="false">
      <c r="A9" s="7" t="s">
        <v>30</v>
      </c>
      <c r="B9" s="10" t="n">
        <f aca="false">'Reel Strips'!B18+'Reel Strips'!B21</f>
        <v>0.136363636363636</v>
      </c>
      <c r="C9" s="10" t="n">
        <f aca="false">'Reel Strips'!C18+'Reel Strips'!C21</f>
        <v>0.136363636363636</v>
      </c>
      <c r="D9" s="10" t="n">
        <f aca="false">'Reel Strips'!D18+'Reel Strips'!D21</f>
        <v>0.155555555555556</v>
      </c>
      <c r="E9" s="10" t="n">
        <f aca="false">'Reel Strips'!E18+'Reel Strips'!E21</f>
        <v>0.136363636363636</v>
      </c>
      <c r="F9" s="10" t="n">
        <f aca="false">'Reel Strips'!F18+'Reel Strips'!F21</f>
        <v>0.136363636363636</v>
      </c>
      <c r="G9" s="11" t="n">
        <f aca="false">B9*C9*D9*(1-E9)</f>
        <v>0.00249812171299775</v>
      </c>
      <c r="H9" s="11" t="n">
        <f aca="false">B9*C9*D9*E9*(1-F9)</f>
        <v>0.000340652960863329</v>
      </c>
      <c r="I9" s="11" t="n">
        <f aca="false">B9*C9*D9*E9*F9</f>
        <v>5.37873096099993E-005</v>
      </c>
      <c r="J9" s="8" t="n">
        <v>11</v>
      </c>
      <c r="K9" s="8" t="n">
        <v>45</v>
      </c>
      <c r="L9" s="8" t="n">
        <v>230</v>
      </c>
      <c r="M9" s="12" t="n">
        <f aca="false">G9*J9+H9*K9+I9*L9</f>
        <v>0.0551798032921248</v>
      </c>
      <c r="N9" s="12" t="n">
        <f aca="false">$B$6*$C$6*$D$6*(1-E9)*J9+$B$6*$C$6*$D$6*$E$6*(1-F9)*K9+$B$6*$C$6*$D$6*$E$6*$F$6*L9</f>
        <v>0.00161731894451654</v>
      </c>
    </row>
    <row r="10" customFormat="false" ht="15" hidden="false" customHeight="false" outlineLevel="0" collapsed="false">
      <c r="A10" s="7" t="s">
        <v>31</v>
      </c>
      <c r="B10" s="10" t="n">
        <f aca="false">'Reel Strips'!B18+'Reel Strips'!B22</f>
        <v>0.159090909090909</v>
      </c>
      <c r="C10" s="10" t="n">
        <f aca="false">'Reel Strips'!C18+'Reel Strips'!C22</f>
        <v>0.159090909090909</v>
      </c>
      <c r="D10" s="10" t="n">
        <f aca="false">'Reel Strips'!D18+'Reel Strips'!D22</f>
        <v>0.177777777777778</v>
      </c>
      <c r="E10" s="10" t="n">
        <f aca="false">'Reel Strips'!E18+'Reel Strips'!E22</f>
        <v>0.159090909090909</v>
      </c>
      <c r="F10" s="10" t="n">
        <f aca="false">'Reel Strips'!F18+'Reel Strips'!F22</f>
        <v>0.159090909090909</v>
      </c>
      <c r="G10" s="11" t="n">
        <f aca="false">B10*C10*D10*(1-E10)</f>
        <v>0.00378370481676267</v>
      </c>
      <c r="H10" s="11" t="n">
        <f aca="false">B10*C10*D10*E10*(1-F10)</f>
        <v>0.000601953039030424</v>
      </c>
      <c r="I10" s="11" t="n">
        <f aca="false">B10*C10*D10*E10*F10</f>
        <v>0.000113883007384134</v>
      </c>
      <c r="J10" s="8" t="n">
        <v>9</v>
      </c>
      <c r="K10" s="8" t="n">
        <v>32</v>
      </c>
      <c r="L10" s="8" t="n">
        <v>160</v>
      </c>
      <c r="M10" s="12" t="n">
        <f aca="false">G10*J10+H10*K10+I10*L10</f>
        <v>0.0715371217812991</v>
      </c>
      <c r="N10" s="12" t="n">
        <f aca="false">$B$6*$C$6*$D$6*(1-E10)*J10+$B$6*$C$6*$D$6*$E$6*(1-F10)*K10+$B$6*$C$6*$D$6*$E$6*$F$6*L10</f>
        <v>0.00125646016893199</v>
      </c>
    </row>
    <row r="11" customFormat="false" ht="15" hidden="false" customHeight="false" outlineLevel="0" collapsed="false">
      <c r="A11" s="7" t="s">
        <v>32</v>
      </c>
      <c r="B11" s="10" t="n">
        <f aca="false">'Reel Strips'!B18+'Reel Strips'!B23</f>
        <v>0.181818181818182</v>
      </c>
      <c r="C11" s="10" t="n">
        <f aca="false">'Reel Strips'!C18+'Reel Strips'!C23</f>
        <v>0.181818181818182</v>
      </c>
      <c r="D11" s="10" t="n">
        <f aca="false">'Reel Strips'!D18+'Reel Strips'!D23</f>
        <v>0.2</v>
      </c>
      <c r="E11" s="10" t="n">
        <f aca="false">'Reel Strips'!E18+'Reel Strips'!E23</f>
        <v>0.181818181818182</v>
      </c>
      <c r="F11" s="10" t="n">
        <f aca="false">'Reel Strips'!F18+'Reel Strips'!F23</f>
        <v>0.181818181818182</v>
      </c>
      <c r="G11" s="11" t="n">
        <f aca="false">B11*C11*D11*(1-E11)</f>
        <v>0.00540946656649136</v>
      </c>
      <c r="H11" s="11" t="n">
        <f aca="false">B11*C11*D11*E11*(1-F11)</f>
        <v>0.000983539375725702</v>
      </c>
      <c r="I11" s="11" t="n">
        <f aca="false">B11*C11*D11*E11*F11</f>
        <v>0.000218564305716823</v>
      </c>
      <c r="J11" s="8" t="n">
        <v>5</v>
      </c>
      <c r="K11" s="8" t="n">
        <v>12</v>
      </c>
      <c r="L11" s="8" t="n">
        <v>58</v>
      </c>
      <c r="M11" s="12" t="n">
        <f aca="false">G11*J11+H11*K11+I11*L11</f>
        <v>0.0515265350727409</v>
      </c>
      <c r="N11" s="12" t="n">
        <f aca="false">$B$6*$C$6*$D$6*(1-E11)*J11+$B$6*$C$6*$D$6*$E$6*(1-F11)*K11+$B$6*$C$6*$D$6*$E$6*$F$6*L11</f>
        <v>0.000641463470163696</v>
      </c>
    </row>
    <row r="12" customFormat="false" ht="15" hidden="false" customHeight="false" outlineLevel="0" collapsed="false">
      <c r="A12" s="7" t="s">
        <v>33</v>
      </c>
      <c r="B12" s="10" t="n">
        <f aca="false">'Reel Strips'!B18+'Reel Strips'!B24</f>
        <v>0.181818181818182</v>
      </c>
      <c r="C12" s="10" t="n">
        <f aca="false">'Reel Strips'!C18+'Reel Strips'!C24</f>
        <v>0.181818181818182</v>
      </c>
      <c r="D12" s="10" t="n">
        <f aca="false">'Reel Strips'!D18+'Reel Strips'!D24</f>
        <v>0.2</v>
      </c>
      <c r="E12" s="10" t="n">
        <f aca="false">'Reel Strips'!E18+'Reel Strips'!E24</f>
        <v>0.181818181818182</v>
      </c>
      <c r="F12" s="10" t="n">
        <f aca="false">'Reel Strips'!F18+'Reel Strips'!F24</f>
        <v>0.181818181818182</v>
      </c>
      <c r="G12" s="11" t="n">
        <f aca="false">B12*C12*D12*(1-E12)</f>
        <v>0.00540946656649136</v>
      </c>
      <c r="H12" s="11" t="n">
        <f aca="false">B12*C12*D12*E12*(1-F12)</f>
        <v>0.000983539375725702</v>
      </c>
      <c r="I12" s="11" t="n">
        <f aca="false">B12*C12*D12*E12*F12</f>
        <v>0.000218564305716823</v>
      </c>
      <c r="J12" s="8" t="n">
        <v>5</v>
      </c>
      <c r="K12" s="8" t="n">
        <v>12</v>
      </c>
      <c r="L12" s="8" t="n">
        <v>58</v>
      </c>
      <c r="M12" s="12" t="n">
        <f aca="false">G12*J12+H12*K12+I12*L12</f>
        <v>0.0515265350727409</v>
      </c>
      <c r="N12" s="12" t="n">
        <f aca="false">$B$6*$C$6*$D$6*(1-E12)*J12+$B$6*$C$6*$D$6*$E$6*(1-F12)*K12+$B$6*$C$6*$D$6*$E$6*$F$6*L12</f>
        <v>0.000641463470163696</v>
      </c>
    </row>
    <row r="13" customFormat="false" ht="15" hidden="false" customHeight="false" outlineLevel="0" collapsed="false">
      <c r="A13" s="7" t="s">
        <v>34</v>
      </c>
      <c r="B13" s="10" t="n">
        <f aca="false">'Reel Strips'!B18+'Reel Strips'!B25</f>
        <v>0.204545454545455</v>
      </c>
      <c r="C13" s="10" t="n">
        <f aca="false">'Reel Strips'!C18+'Reel Strips'!C25</f>
        <v>0.204545454545455</v>
      </c>
      <c r="D13" s="10" t="n">
        <f aca="false">'Reel Strips'!D18+'Reel Strips'!D25</f>
        <v>0.222222222222222</v>
      </c>
      <c r="E13" s="10" t="n">
        <f aca="false">'Reel Strips'!E18+'Reel Strips'!E25</f>
        <v>0.204545454545455</v>
      </c>
      <c r="F13" s="10" t="n">
        <f aca="false">'Reel Strips'!F18+'Reel Strips'!F25</f>
        <v>0.204545454545455</v>
      </c>
      <c r="G13" s="11" t="n">
        <f aca="false">B13*C13*D13*(1-E13)</f>
        <v>0.00739575507137491</v>
      </c>
      <c r="H13" s="11" t="n">
        <f aca="false">B13*C13*D13*E13*(1-F13)</f>
        <v>0.00151276808278123</v>
      </c>
      <c r="I13" s="11" t="n">
        <f aca="false">B13*C13*D13*E13*F13</f>
        <v>0.000388997507000888</v>
      </c>
      <c r="J13" s="8" t="n">
        <v>3</v>
      </c>
      <c r="K13" s="8" t="n">
        <v>10</v>
      </c>
      <c r="L13" s="8" t="n">
        <v>48</v>
      </c>
      <c r="M13" s="12" t="n">
        <f aca="false">G13*J13+H13*K13+I13*L13</f>
        <v>0.0559868263779796</v>
      </c>
      <c r="N13" s="12" t="n">
        <f aca="false">$B$6*$C$6*$D$6*(1-E13)*J13+$B$6*$C$6*$D$6*$E$6*(1-F13)*K13+$B$6*$C$6*$D$6*$E$6*$F$6*L13</f>
        <v>0.000392163558955445</v>
      </c>
    </row>
    <row r="14" customFormat="false" ht="15" hidden="false" customHeight="false" outlineLevel="0" collapsed="false">
      <c r="A14" s="7" t="s">
        <v>35</v>
      </c>
      <c r="B14" s="10" t="n">
        <f aca="false">'Reel Strips'!B18+'Reel Strips'!B26</f>
        <v>0.204545454545455</v>
      </c>
      <c r="C14" s="10" t="n">
        <f aca="false">'Reel Strips'!C18+'Reel Strips'!C26</f>
        <v>0.204545454545455</v>
      </c>
      <c r="D14" s="10" t="n">
        <f aca="false">'Reel Strips'!D18+'Reel Strips'!D26</f>
        <v>0.222222222222222</v>
      </c>
      <c r="E14" s="10" t="n">
        <f aca="false">'Reel Strips'!E18+'Reel Strips'!E26</f>
        <v>0.204545454545455</v>
      </c>
      <c r="F14" s="10" t="n">
        <f aca="false">'Reel Strips'!F18+'Reel Strips'!F26</f>
        <v>0.204545454545455</v>
      </c>
      <c r="G14" s="11" t="n">
        <f aca="false">B14*C14*D14*(1-E14)</f>
        <v>0.00739575507137491</v>
      </c>
      <c r="H14" s="11" t="n">
        <f aca="false">B14*C14*D14*E14*(1-F14)</f>
        <v>0.00151276808278123</v>
      </c>
      <c r="I14" s="11" t="n">
        <f aca="false">B14*C14*D14*E14*F14</f>
        <v>0.000388997507000888</v>
      </c>
      <c r="J14" s="8" t="n">
        <v>3</v>
      </c>
      <c r="K14" s="8" t="n">
        <v>10</v>
      </c>
      <c r="L14" s="8" t="n">
        <v>48</v>
      </c>
      <c r="M14" s="12" t="n">
        <f aca="false">G14*J14+H14*K14+I14*L14</f>
        <v>0.0559868263779796</v>
      </c>
      <c r="N14" s="12" t="n">
        <f aca="false">$B$6*$C$6*$D$6*(1-E14)*J14+$B$6*$C$6*$D$6*$E$6*(1-F14)*K14+$B$6*$C$6*$D$6*$E$6*$F$6*L14</f>
        <v>0.000392163558955445</v>
      </c>
    </row>
    <row r="15" customFormat="false" ht="15" hidden="false" customHeight="false" outlineLevel="0" collapsed="false">
      <c r="A15" s="13" t="s">
        <v>54</v>
      </c>
      <c r="M15" s="14" t="n">
        <f aca="false">SUM(M6:M14)</f>
        <v>0.424970023298348</v>
      </c>
    </row>
    <row r="16" customFormat="false" ht="15" hidden="false" customHeight="false" outlineLevel="0" collapsed="false">
      <c r="A16" s="13" t="s">
        <v>55</v>
      </c>
      <c r="N16" s="14" t="n">
        <f aca="false">SUM(N7:N14)</f>
        <v>0.0108932108462537</v>
      </c>
    </row>
    <row r="17" customFormat="false" ht="15" hidden="false" customHeight="false" outlineLevel="0" collapsed="false">
      <c r="A17" s="5" t="s">
        <v>56</v>
      </c>
      <c r="M17" s="15" t="n">
        <f aca="false">M15-N16</f>
        <v>0.414076812452094</v>
      </c>
    </row>
    <row r="18" customFormat="false" ht="15" hidden="false" customHeight="false" outlineLevel="0" collapsed="false">
      <c r="A18" s="13" t="s">
        <v>57</v>
      </c>
      <c r="M18" s="14" t="n">
        <f aca="false">M17*20</f>
        <v>8.28153624904188</v>
      </c>
    </row>
    <row r="19" customFormat="false" ht="15" hidden="false" customHeight="false" outlineLevel="0" collapsed="false">
      <c r="A19" s="16" t="s">
        <v>58</v>
      </c>
      <c r="M19" s="17" t="n">
        <f aca="false">M18/20</f>
        <v>0.414076812452094</v>
      </c>
    </row>
    <row r="21" customFormat="false" ht="15" hidden="false" customHeight="true" outlineLevel="0" collapsed="false">
      <c r="A21" s="18" t="s">
        <v>59</v>
      </c>
      <c r="B21" s="18"/>
      <c r="C21" s="18"/>
      <c r="D21" s="18"/>
      <c r="E21" s="18"/>
      <c r="F21" s="18"/>
    </row>
    <row r="22" customFormat="false" ht="15" hidden="false" customHeight="false" outlineLevel="0" collapsed="false">
      <c r="A22" s="18"/>
      <c r="B22" s="18"/>
      <c r="C22" s="18"/>
      <c r="D22" s="18"/>
      <c r="E22" s="18"/>
      <c r="F22" s="18"/>
    </row>
    <row r="23" customFormat="false" ht="15" hidden="false" customHeight="false" outlineLevel="0" collapsed="false">
      <c r="A23" s="18"/>
      <c r="B23" s="18"/>
      <c r="C23" s="18"/>
      <c r="D23" s="18"/>
      <c r="E23" s="18"/>
      <c r="F23" s="18"/>
    </row>
    <row r="24" customFormat="false" ht="15" hidden="false" customHeight="false" outlineLevel="0" collapsed="false">
      <c r="A24" s="18"/>
      <c r="B24" s="18"/>
      <c r="C24" s="18"/>
      <c r="D24" s="18"/>
      <c r="E24" s="18"/>
      <c r="F24" s="18"/>
    </row>
  </sheetData>
  <mergeCells count="1">
    <mergeCell ref="A21: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2" min="2" style="0" width="11"/>
  </cols>
  <sheetData>
    <row r="1" customFormat="false" ht="19.7" hidden="false" customHeight="false" outlineLevel="0" collapsed="false">
      <c r="A1" s="1" t="s">
        <v>60</v>
      </c>
    </row>
    <row r="2" customFormat="false" ht="15" hidden="false" customHeight="false" outlineLevel="0" collapsed="false">
      <c r="A2" s="2" t="s">
        <v>61</v>
      </c>
    </row>
    <row r="4" customFormat="false" ht="15" hidden="false" customHeight="false" outlineLevel="0" collapsed="false">
      <c r="A4" s="5" t="s">
        <v>62</v>
      </c>
      <c r="B4" s="6" t="s">
        <v>63</v>
      </c>
      <c r="C4" s="6" t="s">
        <v>64</v>
      </c>
      <c r="D4" s="6" t="s">
        <v>65</v>
      </c>
      <c r="E4" s="6" t="s">
        <v>37</v>
      </c>
      <c r="F4" s="6" t="s">
        <v>66</v>
      </c>
      <c r="G4" s="6" t="s">
        <v>67</v>
      </c>
      <c r="H4" s="6" t="s">
        <v>68</v>
      </c>
    </row>
    <row r="5" customFormat="false" ht="15" hidden="false" customHeight="false" outlineLevel="0" collapsed="false">
      <c r="A5" s="7" t="s">
        <v>22</v>
      </c>
      <c r="B5" s="8" t="n">
        <v>38</v>
      </c>
      <c r="C5" s="8" t="n">
        <v>6</v>
      </c>
      <c r="D5" s="8" t="n">
        <v>0</v>
      </c>
      <c r="E5" s="19" t="n">
        <f aca="false">'Reel Strips'!B15</f>
        <v>44</v>
      </c>
      <c r="F5" s="12" t="n">
        <f aca="false">B5/E5</f>
        <v>0.863636363636364</v>
      </c>
      <c r="G5" s="12" t="n">
        <f aca="false">C5/E5</f>
        <v>0.136363636363636</v>
      </c>
      <c r="H5" s="12" t="n">
        <f aca="false">D5/E5</f>
        <v>0</v>
      </c>
    </row>
    <row r="6" customFormat="false" ht="15" hidden="false" customHeight="false" outlineLevel="0" collapsed="false">
      <c r="A6" s="7" t="s">
        <v>23</v>
      </c>
      <c r="B6" s="8" t="n">
        <v>38</v>
      </c>
      <c r="C6" s="8" t="n">
        <v>6</v>
      </c>
      <c r="D6" s="8" t="n">
        <v>0</v>
      </c>
      <c r="E6" s="19" t="n">
        <f aca="false">'Reel Strips'!C15</f>
        <v>44</v>
      </c>
      <c r="F6" s="12" t="n">
        <f aca="false">B6/E6</f>
        <v>0.863636363636364</v>
      </c>
      <c r="G6" s="12" t="n">
        <f aca="false">C6/E6</f>
        <v>0.136363636363636</v>
      </c>
      <c r="H6" s="12" t="n">
        <f aca="false">D6/E6</f>
        <v>0</v>
      </c>
    </row>
    <row r="7" customFormat="false" ht="15" hidden="false" customHeight="false" outlineLevel="0" collapsed="false">
      <c r="A7" s="7" t="s">
        <v>24</v>
      </c>
      <c r="B7" s="8" t="n">
        <v>40</v>
      </c>
      <c r="C7" s="8" t="n">
        <v>4</v>
      </c>
      <c r="D7" s="8" t="n">
        <v>1</v>
      </c>
      <c r="E7" s="19" t="n">
        <f aca="false">'Reel Strips'!D15</f>
        <v>45</v>
      </c>
      <c r="F7" s="12" t="n">
        <f aca="false">B7/E7</f>
        <v>0.888888888888889</v>
      </c>
      <c r="G7" s="12" t="n">
        <f aca="false">C7/E7</f>
        <v>0.0888888888888889</v>
      </c>
      <c r="H7" s="12" t="n">
        <f aca="false">D7/E7</f>
        <v>0.0222222222222222</v>
      </c>
    </row>
    <row r="8" customFormat="false" ht="15" hidden="false" customHeight="false" outlineLevel="0" collapsed="false">
      <c r="A8" s="7" t="s">
        <v>25</v>
      </c>
      <c r="B8" s="8" t="n">
        <v>38</v>
      </c>
      <c r="C8" s="8" t="n">
        <v>6</v>
      </c>
      <c r="D8" s="8" t="n">
        <v>0</v>
      </c>
      <c r="E8" s="19" t="n">
        <f aca="false">'Reel Strips'!E15</f>
        <v>44</v>
      </c>
      <c r="F8" s="12" t="n">
        <f aca="false">B8/E8</f>
        <v>0.863636363636364</v>
      </c>
      <c r="G8" s="12" t="n">
        <f aca="false">C8/E8</f>
        <v>0.136363636363636</v>
      </c>
      <c r="H8" s="12" t="n">
        <f aca="false">D8/E8</f>
        <v>0</v>
      </c>
    </row>
    <row r="9" customFormat="false" ht="15" hidden="false" customHeight="false" outlineLevel="0" collapsed="false">
      <c r="A9" s="7" t="s">
        <v>26</v>
      </c>
      <c r="B9" s="8" t="n">
        <v>38</v>
      </c>
      <c r="C9" s="8" t="n">
        <v>6</v>
      </c>
      <c r="D9" s="8" t="n">
        <v>0</v>
      </c>
      <c r="E9" s="19" t="n">
        <f aca="false">'Reel Strips'!F15</f>
        <v>44</v>
      </c>
      <c r="F9" s="12" t="n">
        <f aca="false">B9/E9</f>
        <v>0.863636363636364</v>
      </c>
      <c r="G9" s="12" t="n">
        <f aca="false">C9/E9</f>
        <v>0.136363636363636</v>
      </c>
      <c r="H9" s="12" t="n">
        <f aca="false">D9/E9</f>
        <v>0</v>
      </c>
    </row>
    <row r="11" customFormat="false" ht="15" hidden="false" customHeight="false" outlineLevel="0" collapsed="false">
      <c r="A11" s="5" t="s">
        <v>69</v>
      </c>
    </row>
    <row r="12" customFormat="false" ht="15" hidden="false" customHeight="false" outlineLevel="0" collapsed="false">
      <c r="A12" s="5" t="s">
        <v>70</v>
      </c>
      <c r="B12" s="6" t="n">
        <v>0</v>
      </c>
      <c r="C12" s="6" t="n">
        <v>1</v>
      </c>
      <c r="D12" s="6" t="n">
        <v>2</v>
      </c>
      <c r="E12" s="6" t="n">
        <v>3</v>
      </c>
      <c r="F12" s="6" t="n">
        <v>4</v>
      </c>
      <c r="G12" s="6" t="n">
        <v>5</v>
      </c>
      <c r="H12" s="6" t="n">
        <v>6</v>
      </c>
      <c r="I12" s="6" t="n">
        <v>7</v>
      </c>
      <c r="J12" s="6" t="n">
        <v>8</v>
      </c>
      <c r="K12" s="6" t="n">
        <v>9</v>
      </c>
      <c r="L12" s="6" t="n">
        <v>10</v>
      </c>
    </row>
    <row r="13" customFormat="false" ht="15" hidden="false" customHeight="false" outlineLevel="0" collapsed="false">
      <c r="A13" s="7" t="s">
        <v>71</v>
      </c>
      <c r="B13" s="20" t="n">
        <f aca="false">F5</f>
        <v>0.863636363636364</v>
      </c>
      <c r="C13" s="20" t="n">
        <f aca="false">G5</f>
        <v>0.136363636363636</v>
      </c>
      <c r="D13" s="20" t="n">
        <f aca="false">H5</f>
        <v>0</v>
      </c>
      <c r="E13" s="20" t="n">
        <f aca="false">0</f>
        <v>0</v>
      </c>
      <c r="F13" s="20" t="n">
        <f aca="false">0</f>
        <v>0</v>
      </c>
      <c r="G13" s="20" t="n">
        <f aca="false">0</f>
        <v>0</v>
      </c>
      <c r="H13" s="20" t="n">
        <f aca="false">0</f>
        <v>0</v>
      </c>
      <c r="I13" s="20" t="n">
        <f aca="false">0</f>
        <v>0</v>
      </c>
      <c r="J13" s="20" t="n">
        <f aca="false">0</f>
        <v>0</v>
      </c>
      <c r="K13" s="20" t="n">
        <f aca="false">0</f>
        <v>0</v>
      </c>
      <c r="L13" s="20" t="n">
        <f aca="false">0</f>
        <v>0</v>
      </c>
    </row>
    <row r="14" customFormat="false" ht="15" hidden="false" customHeight="false" outlineLevel="0" collapsed="false">
      <c r="A14" s="7" t="s">
        <v>72</v>
      </c>
      <c r="B14" s="20" t="n">
        <f aca="false">B13*F6</f>
        <v>0.745867768595041</v>
      </c>
      <c r="C14" s="20" t="n">
        <f aca="false">C13*F6+B13*G6</f>
        <v>0.235537190082645</v>
      </c>
      <c r="D14" s="20" t="n">
        <f aca="false">D13*F6+C13*G6+B13*H6</f>
        <v>0.018595041322314</v>
      </c>
      <c r="E14" s="20" t="n">
        <f aca="false">E13*F6+D13*G6+C13*H6</f>
        <v>0</v>
      </c>
      <c r="F14" s="20" t="n">
        <f aca="false">F13*F6+E13*G6+D13*H6</f>
        <v>0</v>
      </c>
      <c r="G14" s="20" t="n">
        <f aca="false">G13*F6+F13*G6+E13*H6</f>
        <v>0</v>
      </c>
      <c r="H14" s="20" t="n">
        <f aca="false">H13*F6+G13*G6+F13*H6</f>
        <v>0</v>
      </c>
      <c r="I14" s="20" t="n">
        <f aca="false">I13*F6+H13*G6+G13*H6</f>
        <v>0</v>
      </c>
      <c r="J14" s="20" t="n">
        <f aca="false">J13*F6+I13*G6+H13*H6</f>
        <v>0</v>
      </c>
      <c r="K14" s="20" t="n">
        <f aca="false">K13*F6+J13*G6+I13*H6</f>
        <v>0</v>
      </c>
      <c r="L14" s="20" t="n">
        <f aca="false">L13*F6+K13*G6+J13*H6</f>
        <v>0</v>
      </c>
    </row>
    <row r="15" customFormat="false" ht="15" hidden="false" customHeight="false" outlineLevel="0" collapsed="false">
      <c r="A15" s="7" t="s">
        <v>73</v>
      </c>
      <c r="B15" s="20" t="n">
        <f aca="false">B14*F7</f>
        <v>0.662993572084481</v>
      </c>
      <c r="C15" s="20" t="n">
        <f aca="false">C14*F7+B14*G7</f>
        <v>0.275665748393021</v>
      </c>
      <c r="D15" s="20" t="n">
        <f aca="false">D14*F7+C14*G7+B14*H7</f>
        <v>0.054040404040404</v>
      </c>
      <c r="E15" s="20" t="n">
        <f aca="false">E14*F7+D14*G7+C14*H7</f>
        <v>0.0068870523415978</v>
      </c>
      <c r="F15" s="20" t="n">
        <f aca="false">F14*F7+E14*G7+D14*H7</f>
        <v>0.000413223140495868</v>
      </c>
      <c r="G15" s="20" t="n">
        <f aca="false">G14*F7+F14*G7+E14*H7</f>
        <v>0</v>
      </c>
      <c r="H15" s="20" t="n">
        <f aca="false">H14*F7+G14*G7+F14*H7</f>
        <v>0</v>
      </c>
      <c r="I15" s="20" t="n">
        <f aca="false">I14*F7+H14*G7+G14*H7</f>
        <v>0</v>
      </c>
      <c r="J15" s="20" t="n">
        <f aca="false">J14*F7+I14*G7+H14*H7</f>
        <v>0</v>
      </c>
      <c r="K15" s="20" t="n">
        <f aca="false">K14*F7+J14*G7+I14*H7</f>
        <v>0</v>
      </c>
      <c r="L15" s="20" t="n">
        <f aca="false">L14*F7+K14*G7+J14*H7</f>
        <v>0</v>
      </c>
    </row>
    <row r="16" customFormat="false" ht="15" hidden="false" customHeight="false" outlineLevel="0" collapsed="false">
      <c r="A16" s="7" t="s">
        <v>74</v>
      </c>
      <c r="B16" s="20" t="n">
        <f aca="false">B15*F8</f>
        <v>0.572585357709325</v>
      </c>
      <c r="C16" s="20" t="n">
        <f aca="false">C15*F8+B15*G8</f>
        <v>0.328483178896402</v>
      </c>
      <c r="D16" s="20" t="n">
        <f aca="false">D15*F8+C15*G8+B15*H8</f>
        <v>0.08426204190667</v>
      </c>
      <c r="E16" s="20" t="n">
        <f aca="false">E15*F8+D15*G8+C15*H8</f>
        <v>0.0133170548459805</v>
      </c>
      <c r="F16" s="20" t="n">
        <f aca="false">F15*F8+E15*G8+D15*H8</f>
        <v>0.00129601803155522</v>
      </c>
      <c r="G16" s="20" t="n">
        <f aca="false">G15*F8+F15*G8+E15*H8</f>
        <v>5.63486100676183E-005</v>
      </c>
      <c r="H16" s="20" t="n">
        <f aca="false">H15*F8+G15*G8+F15*H8</f>
        <v>0</v>
      </c>
      <c r="I16" s="20" t="n">
        <f aca="false">I15*F8+H15*G8+G15*H8</f>
        <v>0</v>
      </c>
      <c r="J16" s="20" t="n">
        <f aca="false">J15*F8+I15*G8+H15*H8</f>
        <v>0</v>
      </c>
      <c r="K16" s="20" t="n">
        <f aca="false">K15*F8+J15*G8+I15*H8</f>
        <v>0</v>
      </c>
      <c r="L16" s="20" t="n">
        <f aca="false">L15*F8+K15*G8+J15*H8</f>
        <v>0</v>
      </c>
    </row>
    <row r="17" customFormat="false" ht="15" hidden="false" customHeight="false" outlineLevel="0" collapsed="false">
      <c r="A17" s="7" t="s">
        <v>75</v>
      </c>
      <c r="B17" s="20" t="n">
        <f aca="false">B16*F9</f>
        <v>0.494505536203508</v>
      </c>
      <c r="C17" s="20" t="n">
        <f aca="false">C16*F9+B16*G9</f>
        <v>0.361769839643619</v>
      </c>
      <c r="D17" s="20" t="n">
        <f aca="false">D16*F9+C16*G9+B16*H9</f>
        <v>0.117564924223452</v>
      </c>
      <c r="E17" s="20" t="n">
        <f aca="false">E16*F9+D16*G9+C16*H9</f>
        <v>0.0229913712633472</v>
      </c>
      <c r="F17" s="20" t="n">
        <f aca="false">F16*F9+E16*G9+D16*H9</f>
        <v>0.00293525032443139</v>
      </c>
      <c r="G17" s="20" t="n">
        <f aca="false">G16*F9+F16*G9+E16*H9</f>
        <v>0.000225394440270473</v>
      </c>
      <c r="H17" s="20" t="n">
        <f aca="false">H16*F9+G16*G9+F16*H9</f>
        <v>7.68390137285704E-006</v>
      </c>
      <c r="I17" s="20" t="n">
        <f aca="false">I16*F9+H16*G9+G16*H9</f>
        <v>0</v>
      </c>
      <c r="J17" s="20" t="n">
        <f aca="false">J16*F9+I16*G9+H16*H9</f>
        <v>0</v>
      </c>
      <c r="K17" s="20" t="n">
        <f aca="false">K16*F9+J16*G9+I16*H9</f>
        <v>0</v>
      </c>
      <c r="L17" s="20" t="n">
        <f aca="false">L16*F9+K16*G9+J16*H9</f>
        <v>0</v>
      </c>
    </row>
    <row r="19" customFormat="false" ht="15" hidden="false" customHeight="false" outlineLevel="0" collapsed="false">
      <c r="A19" s="5" t="s">
        <v>76</v>
      </c>
      <c r="B19" s="6" t="s">
        <v>77</v>
      </c>
      <c r="C19" s="6" t="s">
        <v>78</v>
      </c>
      <c r="D19" s="6" t="s">
        <v>79</v>
      </c>
    </row>
    <row r="20" customFormat="false" ht="15" hidden="false" customHeight="false" outlineLevel="0" collapsed="false">
      <c r="A20" s="7" t="s">
        <v>80</v>
      </c>
      <c r="B20" s="21" t="n">
        <f aca="false">E17</f>
        <v>0.0229913712633472</v>
      </c>
      <c r="C20" s="8" t="n">
        <v>5</v>
      </c>
      <c r="D20" s="12" t="n">
        <f aca="false">B20*C20</f>
        <v>0.114956856316736</v>
      </c>
    </row>
    <row r="21" customFormat="false" ht="15" hidden="false" customHeight="false" outlineLevel="0" collapsed="false">
      <c r="A21" s="7" t="s">
        <v>81</v>
      </c>
      <c r="B21" s="21" t="n">
        <f aca="false">F17</f>
        <v>0.00293525032443139</v>
      </c>
      <c r="C21" s="8" t="n">
        <v>22</v>
      </c>
      <c r="D21" s="12" t="n">
        <f aca="false">B21*C21</f>
        <v>0.0645755071374906</v>
      </c>
    </row>
    <row r="22" customFormat="false" ht="15" hidden="false" customHeight="false" outlineLevel="0" collapsed="false">
      <c r="A22" s="7" t="s">
        <v>82</v>
      </c>
      <c r="B22" s="21" t="n">
        <f aca="false">G17</f>
        <v>0.000225394440270473</v>
      </c>
      <c r="C22" s="8" t="n">
        <v>110</v>
      </c>
      <c r="D22" s="12" t="n">
        <f aca="false">B22*C22</f>
        <v>0.0247933884297521</v>
      </c>
    </row>
    <row r="23" customFormat="false" ht="15" hidden="false" customHeight="false" outlineLevel="0" collapsed="false">
      <c r="A23" s="7" t="s">
        <v>83</v>
      </c>
      <c r="B23" s="21" t="n">
        <f aca="false">(H17+I17+J17+K17+L17)</f>
        <v>7.68390137285704E-006</v>
      </c>
      <c r="C23" s="8" t="n">
        <v>110</v>
      </c>
      <c r="D23" s="12" t="n">
        <f aca="false">B23*C23</f>
        <v>0.000845229151014275</v>
      </c>
    </row>
    <row r="24" customFormat="false" ht="15" hidden="false" customHeight="false" outlineLevel="0" collapsed="false">
      <c r="A24" s="16" t="s">
        <v>84</v>
      </c>
      <c r="D24" s="17" t="n">
        <f aca="false">SUM(D20:D23)</f>
        <v>0.205170981034993</v>
      </c>
    </row>
    <row r="25" customFormat="false" ht="15" hidden="false" customHeight="false" outlineLevel="0" collapsed="false">
      <c r="A25" s="13" t="s">
        <v>85</v>
      </c>
      <c r="D25" s="22" t="n">
        <f aca="false">B20+B21+B22+B23</f>
        <v>0.0261596999294219</v>
      </c>
    </row>
    <row r="26" customFormat="false" ht="15" hidden="false" customHeight="false" outlineLevel="0" collapsed="false">
      <c r="A26" s="13" t="s">
        <v>86</v>
      </c>
      <c r="D26" s="23" t="n">
        <f aca="false">1/D25</f>
        <v>38.226738177348</v>
      </c>
    </row>
    <row r="27" customFormat="false" ht="15" hidden="false" customHeight="false" outlineLevel="0" collapsed="false">
      <c r="A27" s="7" t="s">
        <v>87</v>
      </c>
      <c r="D27" s="24" t="n">
        <f aca="false">8/(1-8*D25)</f>
        <v>10.1173306767173</v>
      </c>
    </row>
    <row r="28" customFormat="false" ht="15" hidden="false" customHeight="false" outlineLevel="0" collapsed="false">
      <c r="A28" s="7" t="s">
        <v>88</v>
      </c>
      <c r="D28" s="8" t="n">
        <v>2</v>
      </c>
    </row>
    <row r="30" customFormat="false" ht="15" hidden="false" customHeight="true" outlineLevel="0" collapsed="false">
      <c r="A30" s="18" t="s">
        <v>89</v>
      </c>
      <c r="B30" s="18"/>
      <c r="C30" s="18"/>
      <c r="D30" s="18"/>
      <c r="E30" s="18"/>
      <c r="F30" s="18"/>
    </row>
    <row r="31" customFormat="false" ht="15" hidden="false" customHeight="false" outlineLevel="0" collapsed="false">
      <c r="A31" s="18"/>
      <c r="B31" s="18"/>
      <c r="C31" s="18"/>
      <c r="D31" s="18"/>
      <c r="E31" s="18"/>
      <c r="F31" s="18"/>
    </row>
    <row r="32" customFormat="false" ht="15" hidden="false" customHeight="false" outlineLevel="0" collapsed="false">
      <c r="A32" s="18"/>
      <c r="B32" s="18"/>
      <c r="C32" s="18"/>
      <c r="D32" s="18"/>
      <c r="E32" s="18"/>
      <c r="F32" s="18"/>
    </row>
    <row r="33" customFormat="false" ht="15" hidden="false" customHeight="false" outlineLevel="0" collapsed="false">
      <c r="A33" s="18"/>
      <c r="B33" s="18"/>
      <c r="C33" s="18"/>
      <c r="D33" s="18"/>
      <c r="E33" s="18"/>
      <c r="F33" s="18"/>
    </row>
  </sheetData>
  <mergeCells count="1">
    <mergeCell ref="A30: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19.7" hidden="false" customHeight="false" outlineLevel="0" collapsed="false">
      <c r="A1" s="1" t="s">
        <v>90</v>
      </c>
    </row>
    <row r="2" customFormat="false" ht="15" hidden="false" customHeight="false" outlineLevel="0" collapsed="false">
      <c r="A2" s="2" t="s">
        <v>91</v>
      </c>
    </row>
    <row r="4" customFormat="false" ht="15" hidden="false" customHeight="false" outlineLevel="0" collapsed="false">
      <c r="A4" s="5" t="s">
        <v>92</v>
      </c>
      <c r="B4" s="6" t="s">
        <v>93</v>
      </c>
    </row>
    <row r="5" customFormat="false" ht="15" hidden="false" customHeight="false" outlineLevel="0" collapsed="false">
      <c r="A5" s="7" t="s">
        <v>94</v>
      </c>
      <c r="B5" s="25" t="n">
        <f aca="false">'Line Pay Model'!M19</f>
        <v>0.414076812452094</v>
      </c>
    </row>
    <row r="6" customFormat="false" ht="15" hidden="false" customHeight="false" outlineLevel="0" collapsed="false">
      <c r="A6" s="7" t="s">
        <v>95</v>
      </c>
      <c r="B6" s="25" t="n">
        <f aca="false">'Scatter &amp; Bonus'!D24</f>
        <v>0.205170981034993</v>
      </c>
    </row>
    <row r="7" customFormat="false" ht="15" hidden="false" customHeight="false" outlineLevel="0" collapsed="false">
      <c r="A7" s="13" t="s">
        <v>96</v>
      </c>
      <c r="B7" s="26" t="n">
        <f aca="false">B5+B6</f>
        <v>0.619247793487087</v>
      </c>
    </row>
    <row r="8" customFormat="false" ht="15" hidden="false" customHeight="false" outlineLevel="0" collapsed="false">
      <c r="A8" s="7" t="s">
        <v>97</v>
      </c>
      <c r="B8" s="25" t="n">
        <f aca="false">'Scatter &amp; Bonus'!D25*'Scatter &amp; Bonus'!D27*'Scatter &amp; Bonus'!D28*B7</f>
        <v>0.327788087409923</v>
      </c>
    </row>
    <row r="9" customFormat="false" ht="15" hidden="false" customHeight="false" outlineLevel="0" collapsed="false">
      <c r="A9" s="16" t="s">
        <v>98</v>
      </c>
      <c r="B9" s="17" t="n">
        <f aca="false">B7+B8</f>
        <v>0.947035880897011</v>
      </c>
    </row>
    <row r="11" customFormat="false" ht="15" hidden="false" customHeight="false" outlineLevel="0" collapsed="false">
      <c r="A11" s="16" t="s">
        <v>99</v>
      </c>
      <c r="B11" s="27" t="n">
        <v>0.9421</v>
      </c>
    </row>
    <row r="12" customFormat="false" ht="15" hidden="false" customHeight="false" outlineLevel="0" collapsed="false">
      <c r="A12" s="7" t="s">
        <v>100</v>
      </c>
      <c r="B12" s="28" t="n">
        <f aca="false">B9-B11</f>
        <v>0.00493588089701058</v>
      </c>
    </row>
    <row r="14" customFormat="false" ht="15" hidden="false" customHeight="false" outlineLevel="0" collapsed="false">
      <c r="A14" s="7" t="s">
        <v>101</v>
      </c>
      <c r="B14" s="29" t="n">
        <f aca="false">'Scatter &amp; Bonus'!D26</f>
        <v>38.226738177348</v>
      </c>
    </row>
    <row r="16" customFormat="false" ht="15" hidden="false" customHeight="true" outlineLevel="0" collapsed="false">
      <c r="A16" s="18" t="s">
        <v>102</v>
      </c>
      <c r="B16" s="18"/>
      <c r="C16" s="18"/>
      <c r="D16" s="18"/>
      <c r="E16" s="18"/>
      <c r="F16" s="18"/>
    </row>
    <row r="17" customFormat="false" ht="15" hidden="false" customHeight="false" outlineLevel="0" collapsed="false">
      <c r="A17" s="18"/>
      <c r="B17" s="18"/>
      <c r="C17" s="18"/>
      <c r="D17" s="18"/>
      <c r="E17" s="18"/>
      <c r="F17" s="18"/>
    </row>
    <row r="18" customFormat="false" ht="15" hidden="false" customHeight="false" outlineLevel="0" collapsed="false">
      <c r="A18" s="18"/>
      <c r="B18" s="18"/>
      <c r="C18" s="18"/>
      <c r="D18" s="18"/>
      <c r="E18" s="18"/>
      <c r="F18" s="18"/>
    </row>
    <row r="19" customFormat="false" ht="15" hidden="false" customHeight="false" outlineLevel="0" collapsed="false">
      <c r="A19" s="18"/>
      <c r="B19" s="18"/>
      <c r="C19" s="18"/>
      <c r="D19" s="18"/>
      <c r="E19" s="18"/>
      <c r="F19" s="18"/>
    </row>
  </sheetData>
  <mergeCells count="1">
    <mergeCell ref="A16: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8"/>
  </cols>
  <sheetData>
    <row r="1" customFormat="false" ht="19.7" hidden="false" customHeight="false" outlineLevel="0" collapsed="false">
      <c r="A1" s="1" t="s">
        <v>103</v>
      </c>
    </row>
    <row r="2" customFormat="false" ht="15" hidden="false" customHeight="false" outlineLevel="0" collapsed="false">
      <c r="A2" s="2" t="s">
        <v>104</v>
      </c>
    </row>
    <row r="4" customFormat="false" ht="15" hidden="false" customHeight="false" outlineLevel="0" collapsed="false">
      <c r="A4" s="5" t="s">
        <v>105</v>
      </c>
      <c r="B4" s="6" t="s">
        <v>106</v>
      </c>
    </row>
    <row r="5" customFormat="false" ht="15" hidden="false" customHeight="false" outlineLevel="0" collapsed="false">
      <c r="A5" s="7" t="s">
        <v>107</v>
      </c>
      <c r="B5" s="30" t="n">
        <v>0.4482</v>
      </c>
    </row>
    <row r="6" customFormat="false" ht="15" hidden="false" customHeight="false" outlineLevel="0" collapsed="false">
      <c r="A6" s="7" t="s">
        <v>108</v>
      </c>
      <c r="B6" s="31" t="n">
        <v>5.01</v>
      </c>
    </row>
    <row r="7" customFormat="false" ht="15" hidden="false" customHeight="false" outlineLevel="0" collapsed="false">
      <c r="A7" s="7" t="s">
        <v>101</v>
      </c>
      <c r="B7" s="29" t="n">
        <f aca="false">'Scatter &amp; Bonus'!D26</f>
        <v>38.226738177348</v>
      </c>
    </row>
    <row r="8" customFormat="false" ht="15" hidden="false" customHeight="false" outlineLevel="0" collapsed="false">
      <c r="A8" s="7" t="s">
        <v>109</v>
      </c>
      <c r="B8" s="32" t="n">
        <v>410</v>
      </c>
    </row>
    <row r="9" customFormat="false" ht="15" hidden="false" customHeight="false" outlineLevel="0" collapsed="false">
      <c r="A9" s="7" t="s">
        <v>110</v>
      </c>
      <c r="B9" s="33" t="s">
        <v>111</v>
      </c>
    </row>
    <row r="11" customFormat="false" ht="15" hidden="false" customHeight="true" outlineLevel="0" collapsed="false">
      <c r="A11" s="18" t="s">
        <v>112</v>
      </c>
      <c r="B11" s="18"/>
      <c r="C11" s="18"/>
      <c r="D11" s="18"/>
      <c r="E11" s="18"/>
      <c r="F11" s="18"/>
    </row>
    <row r="12" customFormat="false" ht="15" hidden="false" customHeight="false" outlineLevel="0" collapsed="false">
      <c r="A12" s="18"/>
      <c r="B12" s="18"/>
      <c r="C12" s="18"/>
      <c r="D12" s="18"/>
      <c r="E12" s="18"/>
      <c r="F12" s="18"/>
    </row>
    <row r="13" customFormat="false" ht="15" hidden="false" customHeight="false" outlineLevel="0" collapsed="false">
      <c r="A13" s="18"/>
      <c r="B13" s="18"/>
      <c r="C13" s="18"/>
      <c r="D13" s="18"/>
      <c r="E13" s="18"/>
      <c r="F13" s="18"/>
    </row>
    <row r="14" customFormat="false" ht="15" hidden="false" customHeight="false" outlineLevel="0" collapsed="false">
      <c r="A14" s="18"/>
      <c r="B14" s="18"/>
      <c r="C14" s="18"/>
      <c r="D14" s="18"/>
      <c r="E14" s="18"/>
      <c r="F14" s="18"/>
    </row>
  </sheetData>
  <mergeCells count="1">
    <mergeCell ref="A11: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2026-06-14T17:35:34Z</dcterms:created>
  <dc:creator>openpyxl</dc:creator>
  <dc:description/>
  <dc:language>en-US</dc:language>
  <cp:lastModifiedBy/>
  <dcterms:modified xsi:type="dcterms:W3CDTF">2026-06-14T17:35:34Z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